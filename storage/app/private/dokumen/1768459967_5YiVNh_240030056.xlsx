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<sst xmlns="http://schemas.openxmlformats.org/spreadsheetml/2006/main" count="49" uniqueCount="40">
  <si>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</si>
  <si>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</si>
  <si>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</si>
  <si>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240030056</t>
  </si>
  <si>
    <t>Nama     : Ni Made Lestari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</si>
  <si>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</si>
  <si>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</si>
  <si>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</si>
  <si>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</si>
  <si>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</si>
  <si>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</si>
  <si>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</si>
  <si>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</si>
  <si>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</si>
  <si>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</si>
  <si>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 xml:space="preserve">Tunggakan 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</si>
  <si>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</si>
  <si>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</si>
  <si>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</si>
  <si>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</si>
  <si>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Lunas</t>
  </si>
  <si>
    <t>Almamater &amp; Orientasi</t>
  </si>
  <si>
    <t>-</t>
  </si>
  <si>
    <t>Tunggakan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</si>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</sst>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  <numFmt numFmtId="168" formatCode="d-mmm-yy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sz val="12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6" fillId="3" fontId="2" numFmtId="0" xfId="0" applyAlignment="1" applyBorder="1" applyFill="1" applyFont="1">
      <alignment readingOrder="0" shrinkToFit="0" vertical="center" wrapText="1"/>
    </xf>
    <xf borderId="6" fillId="0" fontId="2" numFmtId="164" xfId="0" applyAlignment="1" applyBorder="1" applyFont="1" applyNumberFormat="1">
      <alignment horizontal="right" readingOrder="0" vertical="center"/>
    </xf>
    <xf borderId="4" fillId="0" fontId="2" numFmtId="166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horizontal="right" readingOrder="0" vertical="center"/>
    </xf>
    <xf borderId="6" fillId="0" fontId="2" numFmtId="164" xfId="0" applyAlignment="1" applyBorder="1" applyFont="1" applyNumberFormat="1">
      <alignment horizontal="right" vertical="center"/>
    </xf>
    <xf borderId="6" fillId="0" fontId="2" numFmtId="0" xfId="0" applyAlignment="1" applyBorder="1" applyFont="1">
      <alignment shrinkToFit="0" vertical="center" wrapText="1"/>
    </xf>
    <xf borderId="0" fillId="0" fontId="2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4" fillId="0" fontId="2" numFmtId="166" xfId="0" applyAlignment="1" applyBorder="1" applyFont="1" applyNumberFormat="1">
      <alignment readingOrder="0" vertical="center"/>
    </xf>
    <xf borderId="4" fillId="0" fontId="2" numFmtId="164" xfId="0" applyAlignment="1" applyBorder="1" applyFont="1" applyNumberFormat="1">
      <alignment readingOrder="0" vertical="center"/>
    </xf>
    <xf borderId="3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readingOrder="0" vertical="center"/>
    </xf>
    <xf borderId="4" fillId="0" fontId="2" numFmtId="168" xfId="0" applyAlignment="1" applyBorder="1" applyFont="1" applyNumberFormat="1">
      <alignment horizontal="right" readingOrder="0" vertical="center"/>
    </xf>
    <xf borderId="4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readingOrder="0" vertical="center"/>
    </xf>
    <xf borderId="4" fillId="0" fontId="2" numFmtId="165" xfId="0" applyAlignment="1" applyBorder="1" applyFont="1" applyNumberFormat="1">
      <alignment vertical="center"/>
    </xf>
    <xf borderId="3" fillId="0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7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shrinkToFit="0" vertical="center" wrapText="1"/>
    </xf>
    <xf borderId="4" fillId="0" fontId="12" numFmtId="164" xfId="0" applyAlignment="1" applyBorder="1" applyFont="1" applyNumberFormat="1">
      <alignment horizontal="right" vertical="center"/>
    </xf>
    <xf borderId="4" fillId="0" fontId="12" numFmtId="165" xfId="0" applyAlignment="1" applyBorder="1" applyFont="1" applyNumberFormat="1">
      <alignment horizontal="right" readingOrder="0" vertical="center"/>
    </xf>
    <xf borderId="4" fillId="3" fontId="12" numFmtId="164" xfId="0" applyAlignment="1" applyBorder="1" applyFont="1" applyNumberFormat="1">
      <alignment horizontal="right" vertical="center"/>
    </xf>
    <xf borderId="4" fillId="3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4" fillId="0" fontId="12" numFmtId="164" xfId="0" applyAlignment="1" applyBorder="1" applyFont="1" applyNumberFormat="1">
      <alignment horizontal="right" readingOrder="0" vertical="center"/>
    </xf>
    <xf borderId="4" fillId="0" fontId="12" numFmtId="0" xfId="0" applyAlignment="1" applyBorder="1" applyFont="1">
      <alignment horizontal="right" readingOrder="0" vertical="center"/>
    </xf>
    <xf borderId="4" fillId="3" fontId="12" numFmtId="0" xfId="0" applyAlignment="1" applyBorder="1" applyFont="1">
      <alignment readingOrder="0" vertical="center"/>
    </xf>
    <xf borderId="4" fillId="0" fontId="12" numFmtId="165" xfId="0" applyAlignment="1" applyBorder="1" applyFont="1" applyNumberFormat="1">
      <alignment horizontal="right" readingOrder="0" vertical="center"/>
    </xf>
    <xf borderId="4" fillId="0" fontId="12" numFmtId="164" xfId="0" applyAlignment="1" applyBorder="1" applyFont="1" applyNumberFormat="1">
      <alignment vertical="center"/>
    </xf>
    <xf borderId="4" fillId="0" fontId="12" numFmtId="165" xfId="0" applyAlignment="1" applyBorder="1" applyFont="1" applyNumberFormat="1">
      <alignment vertical="center"/>
    </xf>
    <xf borderId="4" fillId="3" fontId="12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7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6" fillId="4" fontId="10" numFmtId="164" xfId="0" applyAlignment="1" applyBorder="1" applyFont="1" applyNumberFormat="1">
      <alignment horizontal="center" vertical="center"/>
    </xf>
    <xf borderId="6" fillId="4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8" fillId="0" fontId="12" numFmtId="0" xfId="0" applyAlignment="1" applyBorder="1" applyFont="1">
      <alignment vertical="center"/>
    </xf>
    <xf borderId="9" fillId="0" fontId="6" numFmtId="0" xfId="0" applyBorder="1" applyFont="1"/>
    <xf borderId="10" fillId="0" fontId="12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29"/>
    <col customWidth="1" min="3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>
        <v>45313.0</v>
      </c>
      <c r="E14" s="25">
        <v>3000000.0</v>
      </c>
      <c r="F14" s="26">
        <f>C14-E14-E15</f>
        <v>0</v>
      </c>
      <c r="G14" s="27" t="str">
        <f>if(C14&lt;F14,"Tunggakan","Lunas")</f>
        <v>Lunas</v>
      </c>
      <c r="H14" s="2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/>
      <c r="B15" s="30"/>
      <c r="C15" s="30"/>
      <c r="D15" s="31">
        <v>45419.0</v>
      </c>
      <c r="E15" s="32">
        <v>3000000.0</v>
      </c>
      <c r="F15" s="30"/>
      <c r="G15" s="30"/>
      <c r="H15" s="2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3">
        <v>2.0</v>
      </c>
      <c r="B16" s="34" t="s">
        <v>14</v>
      </c>
      <c r="C16" s="32">
        <v>6000000.0</v>
      </c>
      <c r="D16" s="35">
        <v>45680.0</v>
      </c>
      <c r="E16" s="32">
        <v>3000000.0</v>
      </c>
      <c r="F16" s="36">
        <f t="shared" ref="F16:F17" si="1">C16-E16</f>
        <v>3000000</v>
      </c>
      <c r="G16" s="37" t="s">
        <v>15</v>
      </c>
      <c r="H16" s="2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3">
        <v>3.0</v>
      </c>
      <c r="B17" s="34" t="s">
        <v>16</v>
      </c>
      <c r="C17" s="32">
        <v>6000000.0</v>
      </c>
      <c r="D17" s="38"/>
      <c r="E17" s="36"/>
      <c r="F17" s="36">
        <f t="shared" si="1"/>
        <v>6000000</v>
      </c>
      <c r="G17" s="37" t="s">
        <v>15</v>
      </c>
      <c r="H17" s="2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9"/>
      <c r="B18" s="40"/>
      <c r="C18" s="36"/>
      <c r="D18" s="38"/>
      <c r="E18" s="36"/>
      <c r="F18" s="36"/>
      <c r="G18" s="41"/>
      <c r="H18" s="2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2" t="s">
        <v>17</v>
      </c>
      <c r="B19" s="43"/>
      <c r="C19" s="44">
        <f>sum(C14:C18)</f>
        <v>18000000</v>
      </c>
      <c r="D19" s="45"/>
      <c r="E19" s="45">
        <f t="shared" ref="E19:F19" si="2">SUM(E14:E18)</f>
        <v>9000000</v>
      </c>
      <c r="F19" s="45">
        <f t="shared" si="2"/>
        <v>9000000</v>
      </c>
      <c r="G19" s="46"/>
      <c r="H19" s="47"/>
      <c r="I19" s="47"/>
      <c r="J19" s="47"/>
      <c r="K19" s="48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50"/>
      <c r="B20" s="50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1" t="s">
        <v>18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2">
        <v>1.0</v>
      </c>
      <c r="B24" s="53" t="s">
        <v>19</v>
      </c>
      <c r="C24" s="54">
        <v>300000.0</v>
      </c>
      <c r="D24" s="55">
        <v>45296.0</v>
      </c>
      <c r="E24" s="56">
        <v>300000.0</v>
      </c>
      <c r="F24" s="56">
        <f t="shared" ref="F24:F26" si="3">C24-E24</f>
        <v>0</v>
      </c>
      <c r="G24" s="57" t="s">
        <v>20</v>
      </c>
      <c r="H24" s="58"/>
      <c r="I24" s="58"/>
      <c r="J24" s="58"/>
      <c r="K24" s="59"/>
      <c r="L24" s="60"/>
      <c r="M24" s="60"/>
      <c r="N24" s="60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52">
        <v>2.0</v>
      </c>
      <c r="B25" s="57" t="s">
        <v>21</v>
      </c>
      <c r="C25" s="61">
        <v>1500000.0</v>
      </c>
      <c r="D25" s="62" t="s">
        <v>22</v>
      </c>
      <c r="E25" s="61">
        <v>0.0</v>
      </c>
      <c r="F25" s="56">
        <f t="shared" si="3"/>
        <v>1500000</v>
      </c>
      <c r="G25" s="63" t="s">
        <v>23</v>
      </c>
      <c r="H25" s="58"/>
      <c r="I25" s="58"/>
      <c r="J25" s="58"/>
      <c r="K25" s="59"/>
      <c r="L25" s="60"/>
      <c r="M25" s="60"/>
      <c r="N25" s="60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52">
        <v>3.0</v>
      </c>
      <c r="B26" s="53" t="s">
        <v>24</v>
      </c>
      <c r="C26" s="61">
        <v>3500000.0</v>
      </c>
      <c r="D26" s="64">
        <v>45518.0</v>
      </c>
      <c r="E26" s="61">
        <v>3500000.0</v>
      </c>
      <c r="F26" s="56">
        <f t="shared" si="3"/>
        <v>0</v>
      </c>
      <c r="G26" s="63" t="str">
        <f>if(E24&gt;=C24,"Lunas","Tunggakan")</f>
        <v>Lunas</v>
      </c>
      <c r="H26" s="58"/>
      <c r="I26" s="58"/>
      <c r="J26" s="58"/>
      <c r="K26" s="59"/>
      <c r="L26" s="60"/>
      <c r="M26" s="60"/>
      <c r="N26" s="60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2">
        <v>4.0</v>
      </c>
      <c r="B27" s="53" t="s">
        <v>25</v>
      </c>
      <c r="C27" s="65"/>
      <c r="D27" s="66"/>
      <c r="E27" s="65"/>
      <c r="F27" s="67"/>
      <c r="G27" s="57"/>
      <c r="H27" s="58"/>
      <c r="I27" s="58"/>
      <c r="J27" s="58"/>
      <c r="K27" s="59"/>
      <c r="L27" s="60"/>
      <c r="M27" s="60"/>
      <c r="N27" s="60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68" t="s">
        <v>26</v>
      </c>
      <c r="B28" s="43"/>
      <c r="C28" s="44">
        <f>sum(C24:C27)</f>
        <v>5300000</v>
      </c>
      <c r="D28" s="69"/>
      <c r="E28" s="45">
        <f>sum(E24:E27)</f>
        <v>3800000</v>
      </c>
      <c r="F28" s="45">
        <f>SUM(F24:F27)</f>
        <v>1500000</v>
      </c>
      <c r="G28" s="46"/>
      <c r="H28" s="47"/>
      <c r="I28" s="47"/>
      <c r="J28" s="47"/>
      <c r="K28" s="48"/>
      <c r="L28" s="49"/>
      <c r="M28" s="49"/>
      <c r="N28" s="49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70" t="s">
        <v>27</v>
      </c>
      <c r="B29" s="43"/>
      <c r="C29" s="71">
        <f>C19+C28</f>
        <v>23300000</v>
      </c>
      <c r="D29" s="72"/>
      <c r="E29" s="73">
        <f>E28+E19</f>
        <v>12800000</v>
      </c>
      <c r="F29" s="74">
        <f>F19+F28</f>
        <v>10500000</v>
      </c>
      <c r="G29" s="75"/>
      <c r="H29" s="76"/>
      <c r="I29" s="76"/>
      <c r="J29" s="76"/>
      <c r="K29" s="77"/>
      <c r="L29" s="78"/>
      <c r="M29" s="78"/>
      <c r="N29" s="78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>
      <c r="A30" s="50"/>
      <c r="B30" s="79"/>
      <c r="E30" s="3"/>
      <c r="F30" s="79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0"/>
      <c r="B31" s="9"/>
      <c r="C31" s="10"/>
      <c r="D31" s="10"/>
      <c r="E31" s="81"/>
      <c r="F31" s="9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2" t="s">
        <v>28</v>
      </c>
      <c r="G32" s="83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2" t="s">
        <v>29</v>
      </c>
      <c r="G33" s="83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2" t="s">
        <v>30</v>
      </c>
      <c r="G34" s="83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4" t="s">
        <v>31</v>
      </c>
      <c r="B35" s="10"/>
      <c r="C35" s="10"/>
      <c r="D35" s="10"/>
      <c r="E35" s="10"/>
      <c r="F35" s="10"/>
      <c r="G35" s="85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6" t="s">
        <v>32</v>
      </c>
      <c r="G36" s="87">
        <v>45419.0</v>
      </c>
      <c r="H36" s="88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89" t="s">
        <v>33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9" t="s">
        <v>34</v>
      </c>
      <c r="D38" s="4"/>
      <c r="E38" s="3"/>
      <c r="F38" s="89" t="s">
        <v>35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9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90" t="s">
        <v>36</v>
      </c>
      <c r="C43" s="10"/>
      <c r="D43" s="4"/>
      <c r="E43" s="3"/>
      <c r="F43" s="90" t="s">
        <v>37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1" t="s">
        <v>38</v>
      </c>
      <c r="D44" s="4"/>
      <c r="E44" s="3"/>
      <c r="F44" s="92" t="s">
        <v>39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9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9"/>
      <c r="D46" s="4"/>
      <c r="E46" s="79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4">
    <mergeCell ref="C2:G2"/>
    <mergeCell ref="C4:G4"/>
    <mergeCell ref="A5:G5"/>
    <mergeCell ref="A7:H7"/>
    <mergeCell ref="A8:H8"/>
    <mergeCell ref="A9:H9"/>
    <mergeCell ref="A10:G10"/>
    <mergeCell ref="A14:A15"/>
    <mergeCell ref="B14:B15"/>
    <mergeCell ref="C14:C15"/>
    <mergeCell ref="F14:F15"/>
    <mergeCell ref="G14:G15"/>
    <mergeCell ref="A19:B19"/>
    <mergeCell ref="A28:B28"/>
    <mergeCell ref="B30:D30"/>
    <mergeCell ref="F30:G30"/>
    <mergeCell ref="B31:D31"/>
    <mergeCell ref="F31:G31"/>
    <mergeCell ref="A32:G32"/>
    <mergeCell ref="A33:G33"/>
    <mergeCell ref="A29:B29"/>
    <mergeCell ref="B43:C43"/>
    <mergeCell ref="B44:C44"/>
    <mergeCell ref="B46:C46"/>
    <mergeCell ref="F44:G44"/>
    <mergeCell ref="E45:F45"/>
    <mergeCell ref="E46:G46"/>
    <mergeCell ref="A34:G34"/>
    <mergeCell ref="A35:G35"/>
    <mergeCell ref="F37:G37"/>
    <mergeCell ref="B38:C38"/>
    <mergeCell ref="F38:G38"/>
    <mergeCell ref="F41:G41"/>
    <mergeCell ref="F43:G4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