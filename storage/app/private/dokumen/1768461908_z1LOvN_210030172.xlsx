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qYUuuHBbowqjZUVNCHwBeX0ON5htSw3kdiAv14xmum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======
ID#AAABWh6slOA
MBC Consulting    (2024-10-09 02:27:31)
sudah mengajukan pengalihan dana per tgl 9 Oktober 2024 dengan no pengalihan 021/MBC/X2024</t>
      </text>
    </comment>
  </commentList>
  <extLst>
    <ext uri="GoogleSheetsCustomDataVersion2">
      <go:sheetsCustomData xmlns:go="http://customooxmlschemas.google.com/" r:id="rId1" roundtripDataSignature="AMtx7mirg1ogLOFjuo4fcCrxE/w4++krlw=="/>
    </ext>
  </extLst>
</comments>
</file>

<file path=xl/sharedStrings.xml><?xml version="1.0" encoding="utf-8"?>
<sst xmlns="http://schemas.openxmlformats.org/spreadsheetml/2006/main" count="49" uniqueCount="40">
  <si>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</si>
  <si>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</si>
  <si>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</si>
  <si>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210030172</t>
  </si>
  <si>
    <t>Nama     : Ni Nyoman Ayu Tri Purnamasari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</si>
  <si>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</si>
  <si>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</si>
  <si>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</si>
  <si>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</si>
  <si>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</si>
  <si>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</si>
  <si>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</si>
  <si>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</si>
  <si>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Cuti Semester Ganjil 2024/2025</t>
  </si>
  <si>
    <t xml:space="preserve">ITB STIKOM </t>
  </si>
  <si>
    <t>Genap 2024/2025</t>
  </si>
  <si>
    <t>Lunas</t>
  </si>
  <si>
    <t>Ganjil 2025/2026</t>
  </si>
  <si>
    <t xml:space="preserve">Tunggakan 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</si>
  <si>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</si>
  <si>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</si>
  <si>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</si>
  <si>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</si>
  <si>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-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</si>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</sst>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sz val="14.0"/>
      <color theme="1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6" fillId="3" fontId="9" numFmtId="0" xfId="0" applyAlignment="1" applyBorder="1" applyFill="1" applyFont="1">
      <alignment readingOrder="0" shrinkToFit="0" vertical="center" wrapText="1"/>
    </xf>
    <xf borderId="6" fillId="0" fontId="9" numFmtId="164" xfId="0" applyAlignment="1" applyBorder="1" applyFont="1" applyNumberFormat="1">
      <alignment horizontal="right" readingOrder="0" vertical="center"/>
    </xf>
    <xf borderId="6" fillId="0" fontId="9" numFmtId="0" xfId="0" applyAlignment="1" applyBorder="1" applyFont="1">
      <alignment horizontal="right" readingOrder="0" vertical="center"/>
    </xf>
    <xf borderId="6" fillId="0" fontId="9" numFmtId="164" xfId="0" applyAlignment="1" applyBorder="1" applyFont="1" applyNumberFormat="1">
      <alignment readingOrder="0" vertical="center"/>
    </xf>
    <xf borderId="6" fillId="0" fontId="9" numFmtId="164" xfId="0" applyAlignment="1" applyBorder="1" applyFont="1" applyNumberFormat="1">
      <alignment horizontal="right" vertical="center"/>
    </xf>
    <xf borderId="6" fillId="0" fontId="9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vertical="center"/>
    </xf>
    <xf borderId="0" fillId="0" fontId="9" numFmtId="167" xfId="0" applyAlignment="1" applyFont="1" applyNumberFormat="1">
      <alignment vertical="center"/>
    </xf>
    <xf borderId="3" fillId="0" fontId="6" numFmtId="0" xfId="0" applyBorder="1" applyFont="1"/>
    <xf borderId="4" fillId="0" fontId="6" numFmtId="0" xfId="0" applyBorder="1" applyFont="1"/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readingOrder="0" vertical="center"/>
    </xf>
    <xf borderId="4" fillId="0" fontId="9" numFmtId="164" xfId="0" applyAlignment="1" applyBorder="1" applyFont="1" applyNumberFormat="1">
      <alignment readingOrder="0" vertical="center"/>
    </xf>
    <xf borderId="4" fillId="0" fontId="9" numFmtId="165" xfId="0" applyAlignment="1" applyBorder="1" applyFont="1" applyNumberFormat="1">
      <alignment readingOrder="0" vertical="center"/>
    </xf>
    <xf borderId="4" fillId="0" fontId="9" numFmtId="164" xfId="0" applyAlignment="1" applyBorder="1" applyFont="1" applyNumberFormat="1">
      <alignment vertical="center"/>
    </xf>
    <xf borderId="4" fillId="0" fontId="9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7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4" fillId="0" fontId="2" numFmtId="164" xfId="0" applyAlignment="1" applyBorder="1" applyFont="1" applyNumberFormat="1">
      <alignment horizontal="right" vertical="center"/>
    </xf>
    <xf borderId="4" fillId="0" fontId="2" numFmtId="165" xfId="0" applyAlignment="1" applyBorder="1" applyFont="1" applyNumberFormat="1">
      <alignment horizontal="right" vertical="center"/>
    </xf>
    <xf borderId="4" fillId="3" fontId="2" numFmtId="164" xfId="0" applyAlignment="1" applyBorder="1" applyFont="1" applyNumberFormat="1">
      <alignment horizontal="right" vertical="center"/>
    </xf>
    <xf borderId="4" fillId="3" fontId="2" numFmtId="0" xfId="0" applyAlignment="1" applyBorder="1" applyFont="1">
      <alignment vertical="center"/>
    </xf>
    <xf borderId="4" fillId="0" fontId="2" numFmtId="0" xfId="0" applyAlignment="1" applyBorder="1" applyFont="1">
      <alignment horizontal="right" vertical="center"/>
    </xf>
    <xf borderId="4" fillId="0" fontId="2" numFmtId="164" xfId="0" applyAlignment="1" applyBorder="1" applyFont="1" applyNumberFormat="1">
      <alignment vertical="center"/>
    </xf>
    <xf borderId="4" fillId="0" fontId="2" numFmtId="165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7" fillId="2" fontId="12" numFmtId="0" xfId="0" applyAlignment="1" applyBorder="1" applyFont="1">
      <alignment horizontal="center" vertical="center"/>
    </xf>
    <xf borderId="2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2" numFmtId="166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7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6" fillId="4" fontId="10" numFmtId="164" xfId="0" applyAlignment="1" applyBorder="1" applyFont="1" applyNumberFormat="1">
      <alignment horizontal="center" vertical="center"/>
    </xf>
    <xf borderId="6" fillId="4" fontId="1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8" fillId="0" fontId="9" numFmtId="0" xfId="0" applyAlignment="1" applyBorder="1" applyFont="1">
      <alignment vertical="center"/>
    </xf>
    <xf borderId="9" fillId="0" fontId="6" numFmtId="0" xfId="0" applyBorder="1" applyFont="1"/>
    <xf borderId="10" fillId="0" fontId="9" numFmtId="165" xfId="0" applyAlignment="1" applyBorder="1" applyFont="1" applyNumberFormat="1">
      <alignment vertical="center"/>
    </xf>
    <xf borderId="11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3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4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1.0</v>
      </c>
      <c r="B14" s="22" t="s">
        <v>13</v>
      </c>
      <c r="C14" s="23">
        <v>1000000.0</v>
      </c>
      <c r="D14" s="24" t="s">
        <v>14</v>
      </c>
      <c r="E14" s="25">
        <v>1000000.0</v>
      </c>
      <c r="F14" s="26">
        <f>C14-E14</f>
        <v>0</v>
      </c>
      <c r="G14" s="27" t="str">
        <f>if(C14&lt;=E14,"Lunas","Tunggakan")</f>
        <v>Lunas</v>
      </c>
      <c r="H14" s="28"/>
      <c r="I14" s="29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0"/>
      <c r="B15" s="31"/>
      <c r="C15" s="31"/>
      <c r="D15" s="31"/>
      <c r="E15" s="31"/>
      <c r="F15" s="31"/>
      <c r="G15" s="31"/>
      <c r="H15" s="28"/>
      <c r="I15" s="29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2">
        <v>2.0</v>
      </c>
      <c r="B16" s="33" t="s">
        <v>15</v>
      </c>
      <c r="C16" s="34">
        <v>6000000.0</v>
      </c>
      <c r="D16" s="35">
        <v>45699.0</v>
      </c>
      <c r="E16" s="34">
        <v>6000000.0</v>
      </c>
      <c r="F16" s="36">
        <f t="shared" ref="F16:F17" si="1">C16-E16</f>
        <v>0</v>
      </c>
      <c r="G16" s="37" t="s">
        <v>16</v>
      </c>
      <c r="H16" s="28"/>
      <c r="I16" s="29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2">
        <v>3.0</v>
      </c>
      <c r="B17" s="33" t="s">
        <v>17</v>
      </c>
      <c r="C17" s="34">
        <v>6000000.0</v>
      </c>
      <c r="D17" s="35">
        <v>45897.0</v>
      </c>
      <c r="E17" s="34">
        <v>6000000.0</v>
      </c>
      <c r="F17" s="36">
        <f t="shared" si="1"/>
        <v>0</v>
      </c>
      <c r="G17" s="37" t="s">
        <v>18</v>
      </c>
      <c r="H17" s="28"/>
      <c r="I17" s="29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8"/>
      <c r="B18" s="39"/>
      <c r="C18" s="36"/>
      <c r="D18" s="40"/>
      <c r="E18" s="36"/>
      <c r="F18" s="36"/>
      <c r="G18" s="41"/>
      <c r="H18" s="28"/>
      <c r="I18" s="29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42" t="s">
        <v>19</v>
      </c>
      <c r="B19" s="43"/>
      <c r="C19" s="44">
        <f>sum(C14:C18)</f>
        <v>13000000</v>
      </c>
      <c r="D19" s="45"/>
      <c r="E19" s="45">
        <f t="shared" ref="E19:F19" si="2">SUM(E14:E18)</f>
        <v>13000000</v>
      </c>
      <c r="F19" s="45">
        <f t="shared" si="2"/>
        <v>0</v>
      </c>
      <c r="G19" s="46"/>
      <c r="H19" s="47"/>
      <c r="I19" s="47"/>
      <c r="J19" s="47"/>
      <c r="K19" s="48"/>
      <c r="L19" s="49"/>
      <c r="M19" s="49"/>
      <c r="N19" s="49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50"/>
      <c r="B20" s="50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1" t="s">
        <v>20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/>
      <c r="B22" s="14"/>
      <c r="C22" s="15"/>
      <c r="D22" s="16"/>
      <c r="E22" s="15"/>
      <c r="F22" s="15"/>
      <c r="G22" s="14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7</v>
      </c>
      <c r="B23" s="18" t="s">
        <v>8</v>
      </c>
      <c r="C23" s="19" t="s">
        <v>9</v>
      </c>
      <c r="D23" s="20" t="s">
        <v>10</v>
      </c>
      <c r="E23" s="19" t="s">
        <v>11</v>
      </c>
      <c r="F23" s="19" t="s">
        <v>12</v>
      </c>
      <c r="G23" s="18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2">
        <v>1.0</v>
      </c>
      <c r="B24" s="53" t="s">
        <v>21</v>
      </c>
      <c r="C24" s="54"/>
      <c r="D24" s="55"/>
      <c r="E24" s="56"/>
      <c r="F24" s="56"/>
      <c r="G24" s="57"/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2">
        <v>2.0</v>
      </c>
      <c r="B25" s="39" t="s">
        <v>22</v>
      </c>
      <c r="C25" s="54"/>
      <c r="D25" s="58" t="s">
        <v>23</v>
      </c>
      <c r="E25" s="54"/>
      <c r="F25" s="56"/>
      <c r="G25" s="57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2">
        <v>3.0</v>
      </c>
      <c r="B26" s="53" t="s">
        <v>24</v>
      </c>
      <c r="C26" s="54"/>
      <c r="D26" s="58" t="s">
        <v>23</v>
      </c>
      <c r="E26" s="54"/>
      <c r="F26" s="56"/>
      <c r="G26" s="57"/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2">
        <v>4.0</v>
      </c>
      <c r="B27" s="53" t="s">
        <v>25</v>
      </c>
      <c r="C27" s="59"/>
      <c r="D27" s="60"/>
      <c r="E27" s="59"/>
      <c r="F27" s="61"/>
      <c r="G27" s="57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2" t="s">
        <v>26</v>
      </c>
      <c r="B28" s="43"/>
      <c r="C28" s="63">
        <f>sum(C24:C27)</f>
        <v>0</v>
      </c>
      <c r="D28" s="64"/>
      <c r="E28" s="65">
        <f>sum(E24:E27)</f>
        <v>0</v>
      </c>
      <c r="F28" s="65">
        <f>SUM(F24:F27)</f>
        <v>0</v>
      </c>
      <c r="G28" s="66"/>
      <c r="H28" s="67"/>
      <c r="I28" s="67"/>
      <c r="J28" s="67"/>
      <c r="K28" s="68"/>
      <c r="L28" s="69"/>
      <c r="M28" s="69"/>
      <c r="N28" s="69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70" t="s">
        <v>27</v>
      </c>
      <c r="B29" s="43"/>
      <c r="C29" s="71">
        <f>C19+C28</f>
        <v>13000000</v>
      </c>
      <c r="D29" s="72"/>
      <c r="E29" s="73">
        <f>E28+E19</f>
        <v>13000000</v>
      </c>
      <c r="F29" s="74">
        <f>F19+F28</f>
        <v>0</v>
      </c>
      <c r="G29" s="75"/>
      <c r="H29" s="67"/>
      <c r="I29" s="67"/>
      <c r="J29" s="67"/>
      <c r="K29" s="68"/>
      <c r="L29" s="69"/>
      <c r="M29" s="69"/>
      <c r="N29" s="69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50"/>
      <c r="B30" s="76"/>
      <c r="E30" s="3"/>
      <c r="F30" s="76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7"/>
      <c r="B31" s="9"/>
      <c r="C31" s="10"/>
      <c r="D31" s="10"/>
      <c r="E31" s="78"/>
      <c r="F31" s="9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9" t="s">
        <v>28</v>
      </c>
      <c r="G32" s="8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9" t="s">
        <v>29</v>
      </c>
      <c r="G33" s="80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9" t="s">
        <v>30</v>
      </c>
      <c r="G34" s="80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1" t="s">
        <v>31</v>
      </c>
      <c r="B35" s="10"/>
      <c r="C35" s="10"/>
      <c r="D35" s="10"/>
      <c r="E35" s="10"/>
      <c r="F35" s="10"/>
      <c r="G35" s="82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83" t="s">
        <v>32</v>
      </c>
      <c r="G36" s="84">
        <v>45897.0</v>
      </c>
      <c r="H36" s="85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86" t="s">
        <v>33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6" t="s">
        <v>34</v>
      </c>
      <c r="D38" s="4"/>
      <c r="E38" s="3"/>
      <c r="F38" s="86" t="s">
        <v>35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6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7" t="s">
        <v>36</v>
      </c>
      <c r="C43" s="10"/>
      <c r="D43" s="4"/>
      <c r="E43" s="3"/>
      <c r="F43" s="88" t="s">
        <v>37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9" t="s">
        <v>38</v>
      </c>
      <c r="D44" s="4"/>
      <c r="E44" s="3"/>
      <c r="F44" s="90" t="s">
        <v>39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76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6"/>
      <c r="D46" s="4"/>
      <c r="E46" s="76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6">
    <mergeCell ref="C2:G2"/>
    <mergeCell ref="C4:G4"/>
    <mergeCell ref="A5:G5"/>
    <mergeCell ref="A7:H7"/>
    <mergeCell ref="A8:H8"/>
    <mergeCell ref="A9:H9"/>
    <mergeCell ref="A10:G10"/>
    <mergeCell ref="A14:A15"/>
    <mergeCell ref="B14:B15"/>
    <mergeCell ref="C14:C15"/>
    <mergeCell ref="D14:D15"/>
    <mergeCell ref="E14:E15"/>
    <mergeCell ref="F14:F15"/>
    <mergeCell ref="G14:G15"/>
    <mergeCell ref="A19:B19"/>
    <mergeCell ref="A28:B28"/>
    <mergeCell ref="A29:B29"/>
    <mergeCell ref="B30:D30"/>
    <mergeCell ref="F30:G30"/>
    <mergeCell ref="B31:D31"/>
    <mergeCell ref="F31:G31"/>
    <mergeCell ref="B38:C38"/>
    <mergeCell ref="B43:C43"/>
    <mergeCell ref="B44:C44"/>
    <mergeCell ref="B46:C46"/>
    <mergeCell ref="F43:G43"/>
    <mergeCell ref="F44:G44"/>
    <mergeCell ref="E45:F45"/>
    <mergeCell ref="E46:G46"/>
    <mergeCell ref="A32:G32"/>
    <mergeCell ref="A33:G33"/>
    <mergeCell ref="A34:G34"/>
    <mergeCell ref="A35:G35"/>
    <mergeCell ref="F37:G37"/>
    <mergeCell ref="F38:G38"/>
    <mergeCell ref="F41:G41"/>
  </mergeCell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