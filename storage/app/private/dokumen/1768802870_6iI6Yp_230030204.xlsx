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y9gzuEz3oa5oIFhGJgoCcOcuyRyITAr7rinOLB/f4UM="/>
    </ext>
  </extLst>
</workbook>
</file>

<file path=xl/sharedStrings.xml><?xml version="1.0" encoding="utf-8"?>
<sst xmlns="http://schemas.openxmlformats.org/spreadsheetml/2006/main" count="53" uniqueCount="41">
  <si>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</si>
  <si>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</si>
  <si>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</si>
  <si>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230030204</t>
  </si>
  <si>
    <t>Nama     : Samsul Rizal</t>
  </si>
  <si>
    <t>Prodi      : S1-SISTEM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</si>
  <si>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</si>
  <si>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</si>
  <si>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</si>
  <si>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</si>
  <si>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</si>
  <si>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</si>
  <si>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</si>
  <si>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</si>
  <si>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Lunas</t>
  </si>
  <si>
    <t>Genap 2023/2024</t>
  </si>
  <si>
    <t>Ganjil 2024/2025</t>
  </si>
  <si>
    <t>Genap 2024/2025</t>
  </si>
  <si>
    <t xml:space="preserve">Tunggakan 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</si>
  <si>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</si>
  <si>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</si>
  <si>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</si>
  <si>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</si>
  <si>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Almamater &amp; Orientasi</t>
  </si>
  <si>
    <t>DPP</t>
  </si>
  <si>
    <t>Tunggakan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</si>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</sst>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6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sz val="13.0"/>
      <color theme="1"/>
      <name val="Calibri"/>
    </font>
    <font>
      <b/>
      <sz val="13.0"/>
      <color theme="1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6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right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horizontal="right" vertical="center"/>
    </xf>
    <xf borderId="6" fillId="0" fontId="9" numFmtId="166" xfId="0" applyAlignment="1" applyBorder="1" applyFont="1" applyNumberFormat="1">
      <alignment horizontal="right" readingOrder="0" vertical="center"/>
    </xf>
    <xf borderId="6" fillId="0" fontId="9" numFmtId="164" xfId="0" applyAlignment="1" applyBorder="1" applyFont="1" applyNumberFormat="1">
      <alignment horizontal="right" vertical="center"/>
    </xf>
    <xf borderId="5" fillId="0" fontId="9" numFmtId="164" xfId="0" applyAlignment="1" applyBorder="1" applyFont="1" applyNumberFormat="1">
      <alignment vertical="center"/>
    </xf>
    <xf borderId="5" fillId="0" fontId="9" numFmtId="0" xfId="0" applyAlignment="1" applyBorder="1" applyFont="1">
      <alignment readingOrder="0" vertical="center"/>
    </xf>
    <xf borderId="0" fillId="0" fontId="9" numFmtId="0" xfId="0" applyAlignment="1" applyFont="1">
      <alignment vertical="center"/>
    </xf>
    <xf borderId="0" fillId="0" fontId="9" numFmtId="167" xfId="0" applyAlignment="1" applyFont="1" applyNumberFormat="1">
      <alignment vertical="center"/>
    </xf>
    <xf borderId="7" fillId="0" fontId="6" numFmtId="0" xfId="0" applyBorder="1" applyFont="1"/>
    <xf borderId="6" fillId="0" fontId="9" numFmtId="166" xfId="0" applyAlignment="1" applyBorder="1" applyFont="1" applyNumberFormat="1">
      <alignment readingOrder="0" vertical="center"/>
    </xf>
    <xf borderId="6" fillId="0" fontId="9" numFmtId="164" xfId="0" applyAlignment="1" applyBorder="1" applyFont="1" applyNumberFormat="1">
      <alignment readingOrder="0" vertical="center"/>
    </xf>
    <xf borderId="3" fillId="0" fontId="6" numFmtId="0" xfId="0" applyBorder="1" applyFont="1"/>
    <xf borderId="5" fillId="0" fontId="9" numFmtId="0" xfId="0" applyAlignment="1" applyBorder="1" applyFont="1">
      <alignment horizontal="right" readingOrder="0" vertical="center"/>
    </xf>
    <xf borderId="6" fillId="0" fontId="9" numFmtId="164" xfId="0" applyAlignment="1" applyBorder="1" applyFont="1" applyNumberFormat="1">
      <alignment horizontal="right" readingOrder="0" vertical="center"/>
    </xf>
    <xf borderId="5" fillId="4" fontId="9" numFmtId="0" xfId="0" applyAlignment="1" applyBorder="1" applyFill="1" applyFont="1">
      <alignment horizontal="right" readingOrder="0" vertical="center"/>
    </xf>
    <xf borderId="5" fillId="4" fontId="9" numFmtId="0" xfId="0" applyAlignment="1" applyBorder="1" applyFont="1">
      <alignment readingOrder="0" shrinkToFit="0" vertical="center" wrapText="1"/>
    </xf>
    <xf borderId="5" fillId="4" fontId="9" numFmtId="164" xfId="0" applyAlignment="1" applyBorder="1" applyFont="1" applyNumberFormat="1">
      <alignment horizontal="right" vertical="center"/>
    </xf>
    <xf borderId="6" fillId="4" fontId="9" numFmtId="166" xfId="0" applyAlignment="1" applyBorder="1" applyFont="1" applyNumberFormat="1">
      <alignment horizontal="right" readingOrder="0" vertical="center"/>
    </xf>
    <xf borderId="6" fillId="4" fontId="9" numFmtId="164" xfId="0" applyAlignment="1" applyBorder="1" applyFont="1" applyNumberFormat="1">
      <alignment horizontal="right" readingOrder="0" vertical="center"/>
    </xf>
    <xf borderId="5" fillId="4" fontId="9" numFmtId="164" xfId="0" applyAlignment="1" applyBorder="1" applyFont="1" applyNumberFormat="1">
      <alignment vertical="center"/>
    </xf>
    <xf borderId="5" fillId="4" fontId="9" numFmtId="0" xfId="0" applyAlignment="1" applyBorder="1" applyFont="1">
      <alignment readingOrder="0" vertical="center"/>
    </xf>
    <xf borderId="6" fillId="4" fontId="9" numFmtId="165" xfId="0" applyAlignment="1" applyBorder="1" applyFont="1" applyNumberFormat="1">
      <alignment horizontal="right" readingOrder="0" vertical="center"/>
    </xf>
    <xf borderId="6" fillId="4" fontId="9" numFmtId="164" xfId="0" applyAlignment="1" applyBorder="1" applyFont="1" applyNumberFormat="1">
      <alignment readingOrder="0" vertical="center"/>
    </xf>
    <xf borderId="6" fillId="4" fontId="9" numFmtId="0" xfId="0" applyAlignment="1" applyBorder="1" applyFont="1">
      <alignment readingOrder="0" vertical="center"/>
    </xf>
    <xf borderId="6" fillId="4" fontId="9" numFmtId="164" xfId="0" applyAlignment="1" applyBorder="1" applyFont="1" applyNumberFormat="1">
      <alignment vertical="center"/>
    </xf>
    <xf borderId="6" fillId="0" fontId="9" numFmtId="0" xfId="0" applyAlignment="1" applyBorder="1" applyFont="1">
      <alignment readingOrder="0" vertical="center"/>
    </xf>
    <xf borderId="6" fillId="3" fontId="9" numFmtId="0" xfId="0" applyAlignment="1" applyBorder="1" applyFont="1">
      <alignment readingOrder="0" vertical="center"/>
    </xf>
    <xf borderId="6" fillId="0" fontId="9" numFmtId="165" xfId="0" applyAlignment="1" applyBorder="1" applyFont="1" applyNumberFormat="1">
      <alignment vertical="center"/>
    </xf>
    <xf borderId="6" fillId="0" fontId="9" numFmtId="164" xfId="0" applyAlignment="1" applyBorder="1" applyFont="1" applyNumberFormat="1">
      <alignment vertical="center"/>
    </xf>
    <xf borderId="8" fillId="2" fontId="10" numFmtId="164" xfId="0" applyAlignment="1" applyBorder="1" applyFont="1" applyNumberFormat="1">
      <alignment horizontal="center" vertical="center"/>
    </xf>
    <xf borderId="9" fillId="0" fontId="6" numFmtId="0" xfId="0" applyBorder="1" applyFont="1"/>
    <xf borderId="6" fillId="2" fontId="10" numFmtId="164" xfId="0" applyAlignment="1" applyBorder="1" applyFont="1" applyNumberFormat="1">
      <alignment horizontal="center" vertical="center"/>
    </xf>
    <xf borderId="6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4" fillId="0" fontId="9" numFmtId="164" xfId="0" applyAlignment="1" applyBorder="1" applyFont="1" applyNumberFormat="1">
      <alignment horizontal="right" vertical="center"/>
    </xf>
    <xf borderId="4" fillId="0" fontId="9" numFmtId="165" xfId="0" applyAlignment="1" applyBorder="1" applyFont="1" applyNumberFormat="1">
      <alignment horizontal="right" readingOrder="0" vertical="center"/>
    </xf>
    <xf borderId="4" fillId="3" fontId="9" numFmtId="164" xfId="0" applyAlignment="1" applyBorder="1" applyFont="1" applyNumberFormat="1">
      <alignment horizontal="right" vertical="center"/>
    </xf>
    <xf borderId="4" fillId="3" fontId="9" numFmtId="0" xfId="0" applyAlignment="1" applyBorder="1" applyFont="1">
      <alignment vertical="center"/>
    </xf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4" fillId="0" fontId="9" numFmtId="164" xfId="0" applyAlignment="1" applyBorder="1" applyFont="1" applyNumberFormat="1">
      <alignment horizontal="right" readingOrder="0" vertical="center"/>
    </xf>
    <xf borderId="4" fillId="3" fontId="9" numFmtId="164" xfId="0" applyAlignment="1" applyBorder="1" applyFont="1" applyNumberFormat="1">
      <alignment horizontal="right" readingOrder="0" vertical="center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4" fillId="3" fontId="9" numFmtId="164" xfId="0" applyAlignment="1" applyBorder="1" applyFont="1" applyNumberFormat="1">
      <alignment vertical="center"/>
    </xf>
    <xf borderId="10" fillId="2" fontId="12" numFmtId="0" xfId="0" applyAlignment="1" applyBorder="1" applyFont="1">
      <alignment horizontal="center" vertical="center"/>
    </xf>
    <xf borderId="2" fillId="0" fontId="6" numFmtId="0" xfId="0" applyBorder="1" applyFont="1"/>
    <xf borderId="2" fillId="2" fontId="12" numFmtId="164" xfId="0" applyAlignment="1" applyBorder="1" applyFont="1" applyNumberFormat="1">
      <alignment horizontal="center" vertical="center"/>
    </xf>
    <xf borderId="4" fillId="2" fontId="12" numFmtId="0" xfId="0" applyAlignment="1" applyBorder="1" applyFont="1">
      <alignment horizontal="center" vertical="center"/>
    </xf>
    <xf borderId="4" fillId="2" fontId="12" numFmtId="164" xfId="0" applyAlignment="1" applyBorder="1" applyFont="1" applyNumberFormat="1">
      <alignment horizontal="center" vertical="center"/>
    </xf>
    <xf borderId="4" fillId="2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12" numFmtId="166" xfId="0" applyAlignment="1" applyFont="1" applyNumberFormat="1">
      <alignment vertical="center"/>
    </xf>
    <xf borderId="0" fillId="0" fontId="12" numFmtId="3" xfId="0" applyAlignment="1" applyFont="1" applyNumberFormat="1">
      <alignment vertical="center"/>
    </xf>
    <xf borderId="10" fillId="5" fontId="13" numFmtId="0" xfId="0" applyAlignment="1" applyBorder="1" applyFill="1" applyFont="1">
      <alignment horizontal="center" vertical="center"/>
    </xf>
    <xf borderId="2" fillId="5" fontId="13" numFmtId="164" xfId="0" applyAlignment="1" applyBorder="1" applyFont="1" applyNumberFormat="1">
      <alignment horizontal="center" vertical="center"/>
    </xf>
    <xf borderId="4" fillId="5" fontId="13" numFmtId="0" xfId="0" applyAlignment="1" applyBorder="1" applyFont="1">
      <alignment horizontal="center" vertical="center"/>
    </xf>
    <xf borderId="4" fillId="5" fontId="13" numFmtId="164" xfId="0" applyAlignment="1" applyBorder="1" applyFont="1" applyNumberFormat="1">
      <alignment horizontal="center" vertical="center"/>
    </xf>
    <xf borderId="11" fillId="5" fontId="13" numFmtId="164" xfId="0" applyAlignment="1" applyBorder="1" applyFont="1" applyNumberFormat="1">
      <alignment horizontal="center" vertical="center"/>
    </xf>
    <xf borderId="11" fillId="5" fontId="1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2" fillId="0" fontId="9" numFmtId="0" xfId="0" applyAlignment="1" applyBorder="1" applyFont="1">
      <alignment vertical="center"/>
    </xf>
    <xf borderId="13" fillId="0" fontId="6" numFmtId="0" xfId="0" applyBorder="1" applyFont="1"/>
    <xf borderId="14" fillId="0" fontId="9" numFmtId="165" xfId="0" applyAlignment="1" applyBorder="1" applyFont="1" applyNumberFormat="1">
      <alignment vertical="center"/>
    </xf>
    <xf borderId="15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4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15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19275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9.29"/>
    <col customWidth="1" min="3" max="4" width="17.57"/>
    <col customWidth="1" min="5" max="5" width="20.57"/>
    <col customWidth="1" min="6" max="7" width="17.57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3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3"/>
      <c r="D4" s="4"/>
      <c r="E4" s="3"/>
      <c r="F4" s="3"/>
      <c r="G4" s="2"/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8" t="s">
        <v>2</v>
      </c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10"/>
      <c r="C6" s="10"/>
      <c r="D6" s="10"/>
      <c r="E6" s="10"/>
      <c r="F6" s="10"/>
      <c r="G6" s="10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"/>
      <c r="D7" s="4"/>
      <c r="E7" s="3"/>
      <c r="F7" s="3"/>
      <c r="G7" s="2"/>
      <c r="H7" s="2"/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3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4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5</v>
      </c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10"/>
      <c r="C11" s="10"/>
      <c r="D11" s="10"/>
      <c r="E11" s="10"/>
      <c r="F11" s="10"/>
      <c r="G11" s="10"/>
      <c r="H11" s="2"/>
      <c r="I11" s="2"/>
      <c r="J11" s="2"/>
      <c r="K11" s="5"/>
      <c r="L11" s="6"/>
      <c r="M11" s="6"/>
      <c r="N11" s="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3"/>
      <c r="D12" s="4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6</v>
      </c>
      <c r="B13" s="13"/>
      <c r="C13" s="14"/>
      <c r="D13" s="15"/>
      <c r="E13" s="14"/>
      <c r="F13" s="14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7</v>
      </c>
      <c r="B14" s="17" t="s">
        <v>8</v>
      </c>
      <c r="C14" s="18" t="s">
        <v>9</v>
      </c>
      <c r="D14" s="19" t="s">
        <v>10</v>
      </c>
      <c r="E14" s="18" t="s">
        <v>11</v>
      </c>
      <c r="F14" s="18" t="s">
        <v>12</v>
      </c>
      <c r="G14" s="17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0">
        <v>1.0</v>
      </c>
      <c r="B15" s="21" t="s">
        <v>13</v>
      </c>
      <c r="C15" s="22">
        <v>5500000.0</v>
      </c>
      <c r="D15" s="23">
        <v>45173.0</v>
      </c>
      <c r="E15" s="24">
        <v>1000000.0</v>
      </c>
      <c r="F15" s="25">
        <f>C15-E15-E16-E17-E18</f>
        <v>0</v>
      </c>
      <c r="G15" s="26" t="s">
        <v>14</v>
      </c>
      <c r="H15" s="27"/>
      <c r="I15" s="28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9"/>
      <c r="B16" s="29"/>
      <c r="C16" s="29"/>
      <c r="D16" s="30">
        <v>45280.0</v>
      </c>
      <c r="E16" s="31">
        <v>2000000.0</v>
      </c>
      <c r="F16" s="29"/>
      <c r="G16" s="29"/>
      <c r="H16" s="27"/>
      <c r="I16" s="28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9"/>
      <c r="B17" s="29"/>
      <c r="C17" s="29"/>
      <c r="D17" s="30">
        <v>45328.0</v>
      </c>
      <c r="E17" s="31">
        <v>2000000.0</v>
      </c>
      <c r="F17" s="29"/>
      <c r="G17" s="29"/>
      <c r="H17" s="27"/>
      <c r="I17" s="28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2"/>
      <c r="B18" s="32"/>
      <c r="C18" s="32"/>
      <c r="D18" s="30">
        <v>45329.0</v>
      </c>
      <c r="E18" s="31">
        <v>500000.0</v>
      </c>
      <c r="F18" s="32"/>
      <c r="G18" s="32"/>
      <c r="H18" s="27"/>
      <c r="I18" s="28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3">
        <v>2.0</v>
      </c>
      <c r="B19" s="21" t="s">
        <v>15</v>
      </c>
      <c r="C19" s="22">
        <v>5500000.0</v>
      </c>
      <c r="D19" s="23">
        <v>45329.0</v>
      </c>
      <c r="E19" s="34">
        <v>1000000.0</v>
      </c>
      <c r="F19" s="25">
        <f>C19-E19-E20-E21</f>
        <v>0</v>
      </c>
      <c r="G19" s="26" t="str">
        <f>if(F19&lt;=C19,"Lunas","Tunggakan")</f>
        <v>Lunas</v>
      </c>
      <c r="H19" s="27"/>
      <c r="I19" s="28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9"/>
      <c r="B20" s="29"/>
      <c r="C20" s="29"/>
      <c r="D20" s="30">
        <v>45484.0</v>
      </c>
      <c r="E20" s="31">
        <v>2000000.0</v>
      </c>
      <c r="F20" s="29"/>
      <c r="G20" s="29"/>
      <c r="H20" s="27"/>
      <c r="I20" s="28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32"/>
      <c r="B21" s="32"/>
      <c r="C21" s="32"/>
      <c r="D21" s="30">
        <v>45505.0</v>
      </c>
      <c r="E21" s="31">
        <v>2500000.0</v>
      </c>
      <c r="F21" s="32"/>
      <c r="G21" s="32"/>
      <c r="H21" s="27"/>
      <c r="I21" s="28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35">
        <v>3.0</v>
      </c>
      <c r="B22" s="36" t="s">
        <v>16</v>
      </c>
      <c r="C22" s="37">
        <v>5500000.0</v>
      </c>
      <c r="D22" s="38">
        <v>45531.0</v>
      </c>
      <c r="E22" s="39">
        <v>2000000.0</v>
      </c>
      <c r="F22" s="40">
        <f>C22-E22-E23</f>
        <v>0</v>
      </c>
      <c r="G22" s="41" t="s">
        <v>14</v>
      </c>
      <c r="H22" s="27"/>
      <c r="I22" s="28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32"/>
      <c r="B23" s="32"/>
      <c r="C23" s="32"/>
      <c r="D23" s="42">
        <v>45735.0</v>
      </c>
      <c r="E23" s="43">
        <v>3500000.0</v>
      </c>
      <c r="F23" s="32"/>
      <c r="G23" s="32"/>
      <c r="H23" s="27"/>
      <c r="I23" s="28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44">
        <v>4.0</v>
      </c>
      <c r="B24" s="44" t="s">
        <v>17</v>
      </c>
      <c r="C24" s="43">
        <v>5500000.0</v>
      </c>
      <c r="D24" s="42">
        <v>45735.0</v>
      </c>
      <c r="E24" s="43">
        <v>2000000.0</v>
      </c>
      <c r="F24" s="45">
        <f t="shared" ref="F24:F25" si="1">C24-E24</f>
        <v>3500000</v>
      </c>
      <c r="G24" s="44" t="s">
        <v>18</v>
      </c>
      <c r="H24" s="27"/>
      <c r="I24" s="28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46">
        <v>5.0</v>
      </c>
      <c r="B25" s="47" t="s">
        <v>19</v>
      </c>
      <c r="C25" s="31">
        <v>5500000.0</v>
      </c>
      <c r="D25" s="48"/>
      <c r="E25" s="31">
        <v>0.0</v>
      </c>
      <c r="F25" s="49">
        <f t="shared" si="1"/>
        <v>5500000</v>
      </c>
      <c r="G25" s="46" t="s">
        <v>18</v>
      </c>
      <c r="H25" s="27"/>
      <c r="I25" s="28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50" t="s">
        <v>20</v>
      </c>
      <c r="B26" s="51"/>
      <c r="C26" s="52">
        <f>sum(C15:C25)</f>
        <v>27500000</v>
      </c>
      <c r="D26" s="52"/>
      <c r="E26" s="52">
        <f>SUM(E14:E25)</f>
        <v>18500000</v>
      </c>
      <c r="F26" s="52">
        <f>SUM(F15:F25)</f>
        <v>9000000</v>
      </c>
      <c r="G26" s="53"/>
      <c r="H26" s="54"/>
      <c r="I26" s="54"/>
      <c r="J26" s="54"/>
      <c r="K26" s="55"/>
      <c r="L26" s="56"/>
      <c r="M26" s="56"/>
      <c r="N26" s="56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7"/>
      <c r="B27" s="57"/>
      <c r="C27" s="3"/>
      <c r="D27" s="4"/>
      <c r="E27" s="3"/>
      <c r="F27" s="3"/>
      <c r="G27" s="2"/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8" t="s">
        <v>21</v>
      </c>
      <c r="B28" s="2"/>
      <c r="C28" s="3"/>
      <c r="D28" s="4"/>
      <c r="E28" s="3"/>
      <c r="F28" s="3"/>
      <c r="G28" s="2"/>
      <c r="H28" s="2"/>
      <c r="I28" s="2"/>
      <c r="J28" s="2"/>
      <c r="K28" s="5"/>
      <c r="L28" s="6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.0" customHeight="1">
      <c r="A29" s="13"/>
      <c r="B29" s="13"/>
      <c r="C29" s="14"/>
      <c r="D29" s="15"/>
      <c r="E29" s="14"/>
      <c r="F29" s="14"/>
      <c r="G29" s="13"/>
      <c r="H29" s="2"/>
      <c r="I29" s="2"/>
      <c r="J29" s="2"/>
      <c r="K29" s="5"/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6" t="s">
        <v>7</v>
      </c>
      <c r="B30" s="17" t="s">
        <v>8</v>
      </c>
      <c r="C30" s="18" t="s">
        <v>9</v>
      </c>
      <c r="D30" s="19" t="s">
        <v>10</v>
      </c>
      <c r="E30" s="18" t="s">
        <v>11</v>
      </c>
      <c r="F30" s="18" t="s">
        <v>12</v>
      </c>
      <c r="G30" s="17" t="s">
        <v>8</v>
      </c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9">
        <v>1.0</v>
      </c>
      <c r="B31" s="60" t="s">
        <v>22</v>
      </c>
      <c r="C31" s="61">
        <v>300000.0</v>
      </c>
      <c r="D31" s="62">
        <v>45029.0</v>
      </c>
      <c r="E31" s="63">
        <v>300000.0</v>
      </c>
      <c r="F31" s="63">
        <f t="shared" ref="F31:F33" si="2">C31-E31</f>
        <v>0</v>
      </c>
      <c r="G31" s="64" t="s">
        <v>14</v>
      </c>
      <c r="H31" s="27"/>
      <c r="I31" s="27"/>
      <c r="J31" s="27"/>
      <c r="K31" s="65"/>
      <c r="L31" s="66"/>
      <c r="M31" s="66"/>
      <c r="N31" s="66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59">
        <v>2.0</v>
      </c>
      <c r="B32" s="64" t="s">
        <v>23</v>
      </c>
      <c r="C32" s="61">
        <v>1350000.0</v>
      </c>
      <c r="D32" s="62">
        <v>45047.0</v>
      </c>
      <c r="E32" s="61">
        <v>1350000.0</v>
      </c>
      <c r="F32" s="63">
        <f t="shared" si="2"/>
        <v>0</v>
      </c>
      <c r="G32" s="64" t="s">
        <v>14</v>
      </c>
      <c r="H32" s="27"/>
      <c r="I32" s="27"/>
      <c r="J32" s="27"/>
      <c r="K32" s="65"/>
      <c r="L32" s="66"/>
      <c r="M32" s="66"/>
      <c r="N32" s="66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59">
        <v>3.0</v>
      </c>
      <c r="B33" s="60" t="s">
        <v>24</v>
      </c>
      <c r="C33" s="61">
        <v>8000000.0</v>
      </c>
      <c r="D33" s="62">
        <v>45161.0</v>
      </c>
      <c r="E33" s="67">
        <v>1500000.0</v>
      </c>
      <c r="F33" s="68">
        <f t="shared" si="2"/>
        <v>6500000</v>
      </c>
      <c r="G33" s="64" t="s">
        <v>25</v>
      </c>
      <c r="H33" s="27"/>
      <c r="I33" s="27"/>
      <c r="J33" s="27"/>
      <c r="K33" s="65"/>
      <c r="L33" s="66"/>
      <c r="M33" s="66"/>
      <c r="N33" s="66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59">
        <v>4.0</v>
      </c>
      <c r="B34" s="60" t="s">
        <v>26</v>
      </c>
      <c r="C34" s="69"/>
      <c r="D34" s="70"/>
      <c r="E34" s="69"/>
      <c r="F34" s="71"/>
      <c r="G34" s="64"/>
      <c r="H34" s="27"/>
      <c r="I34" s="27"/>
      <c r="J34" s="27"/>
      <c r="K34" s="65"/>
      <c r="L34" s="66"/>
      <c r="M34" s="66"/>
      <c r="N34" s="66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72" t="s">
        <v>27</v>
      </c>
      <c r="B35" s="73"/>
      <c r="C35" s="74">
        <f>sum(C31:C34)</f>
        <v>9650000</v>
      </c>
      <c r="D35" s="75"/>
      <c r="E35" s="76">
        <f>sum(E31:E34)</f>
        <v>3150000</v>
      </c>
      <c r="F35" s="76">
        <f>SUM(F31:F34)</f>
        <v>6500000</v>
      </c>
      <c r="G35" s="77"/>
      <c r="H35" s="78"/>
      <c r="I35" s="78"/>
      <c r="J35" s="78"/>
      <c r="K35" s="79"/>
      <c r="L35" s="80"/>
      <c r="M35" s="80"/>
      <c r="N35" s="80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81" t="s">
        <v>28</v>
      </c>
      <c r="B36" s="73"/>
      <c r="C36" s="82">
        <f>C26+C35</f>
        <v>37150000</v>
      </c>
      <c r="D36" s="83"/>
      <c r="E36" s="84">
        <f>E35+E26</f>
        <v>21650000</v>
      </c>
      <c r="F36" s="85">
        <f>F26+F35</f>
        <v>15500000</v>
      </c>
      <c r="G36" s="86"/>
      <c r="H36" s="78"/>
      <c r="I36" s="78"/>
      <c r="J36" s="78"/>
      <c r="K36" s="79"/>
      <c r="L36" s="80"/>
      <c r="M36" s="80"/>
      <c r="N36" s="80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57"/>
      <c r="B37" s="87"/>
      <c r="E37" s="3"/>
      <c r="F37" s="87"/>
      <c r="H37" s="2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8"/>
      <c r="B38" s="9"/>
      <c r="C38" s="10"/>
      <c r="D38" s="10"/>
      <c r="E38" s="89"/>
      <c r="F38" s="9"/>
      <c r="G38" s="10"/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90" t="s">
        <v>29</v>
      </c>
      <c r="G39" s="91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90" t="s">
        <v>30</v>
      </c>
      <c r="G40" s="91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90" t="s">
        <v>31</v>
      </c>
      <c r="G41" s="91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92" t="s">
        <v>32</v>
      </c>
      <c r="B42" s="10"/>
      <c r="C42" s="10"/>
      <c r="D42" s="10"/>
      <c r="E42" s="10"/>
      <c r="F42" s="10"/>
      <c r="G42" s="93"/>
      <c r="H42" s="4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75.75" customHeight="1">
      <c r="A43" s="2"/>
      <c r="B43" s="2"/>
      <c r="C43" s="3"/>
      <c r="D43" s="4"/>
      <c r="E43" s="3"/>
      <c r="F43" s="94" t="s">
        <v>33</v>
      </c>
      <c r="G43" s="95">
        <v>45531.0</v>
      </c>
      <c r="H43" s="96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6.25" customHeight="1">
      <c r="A44" s="2"/>
      <c r="B44" s="3"/>
      <c r="C44" s="3"/>
      <c r="D44" s="4"/>
      <c r="E44" s="3"/>
      <c r="F44" s="97" t="s">
        <v>34</v>
      </c>
      <c r="H44" s="3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97" t="s">
        <v>35</v>
      </c>
      <c r="D45" s="4"/>
      <c r="E45" s="3"/>
      <c r="F45" s="97" t="s">
        <v>36</v>
      </c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E46" s="3"/>
      <c r="F46" s="3"/>
      <c r="G46" s="4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87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3"/>
      <c r="C49" s="3"/>
      <c r="D49" s="4"/>
      <c r="E49" s="3"/>
      <c r="F49" s="3"/>
      <c r="G49" s="3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98" t="s">
        <v>37</v>
      </c>
      <c r="C50" s="10"/>
      <c r="D50" s="4"/>
      <c r="E50" s="3"/>
      <c r="F50" s="98" t="s">
        <v>38</v>
      </c>
      <c r="G50" s="10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99" t="s">
        <v>39</v>
      </c>
      <c r="D51" s="4"/>
      <c r="E51" s="3"/>
      <c r="F51" s="100" t="s">
        <v>40</v>
      </c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87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87"/>
      <c r="D53" s="4"/>
      <c r="E53" s="87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5"/>
      <c r="L970" s="6"/>
      <c r="M970" s="6"/>
      <c r="N970" s="6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5"/>
      <c r="L971" s="6"/>
      <c r="M971" s="6"/>
      <c r="N971" s="6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5"/>
      <c r="L972" s="6"/>
      <c r="M972" s="6"/>
      <c r="N972" s="6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5"/>
      <c r="L973" s="6"/>
      <c r="M973" s="6"/>
      <c r="N973" s="6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5"/>
      <c r="L974" s="6"/>
      <c r="M974" s="6"/>
      <c r="N974" s="6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5"/>
      <c r="L975" s="6"/>
      <c r="M975" s="6"/>
      <c r="N975" s="6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2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2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2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3"/>
      <c r="D1004" s="2"/>
      <c r="E1004" s="3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3"/>
      <c r="D1005" s="2"/>
      <c r="E1005" s="3"/>
      <c r="F1005" s="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3"/>
      <c r="D1006" s="2"/>
      <c r="E1006" s="3"/>
      <c r="F1006" s="3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3"/>
      <c r="D1007" s="2"/>
      <c r="E1007" s="3"/>
      <c r="F1007" s="3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3"/>
      <c r="D1008" s="2"/>
      <c r="E1008" s="3"/>
      <c r="F1008" s="3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3"/>
      <c r="D1009" s="2"/>
      <c r="E1009" s="3"/>
      <c r="F1009" s="3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</sheetData>
  <mergeCells count="44">
    <mergeCell ref="C2:G2"/>
    <mergeCell ref="C5:G5"/>
    <mergeCell ref="A6:G6"/>
    <mergeCell ref="A8:H8"/>
    <mergeCell ref="A9:H9"/>
    <mergeCell ref="A10:H10"/>
    <mergeCell ref="A11:G11"/>
    <mergeCell ref="F15:F18"/>
    <mergeCell ref="F19:F21"/>
    <mergeCell ref="F22:F23"/>
    <mergeCell ref="G22:G23"/>
    <mergeCell ref="A15:A18"/>
    <mergeCell ref="B15:B18"/>
    <mergeCell ref="C15:C18"/>
    <mergeCell ref="G15:G18"/>
    <mergeCell ref="B19:B21"/>
    <mergeCell ref="C19:C21"/>
    <mergeCell ref="G19:G21"/>
    <mergeCell ref="A19:A21"/>
    <mergeCell ref="A22:A23"/>
    <mergeCell ref="B22:B23"/>
    <mergeCell ref="C22:C23"/>
    <mergeCell ref="A26:B26"/>
    <mergeCell ref="A35:B35"/>
    <mergeCell ref="A36:B36"/>
    <mergeCell ref="B37:D37"/>
    <mergeCell ref="F37:G37"/>
    <mergeCell ref="B38:D38"/>
    <mergeCell ref="F38:G38"/>
    <mergeCell ref="A39:G39"/>
    <mergeCell ref="A40:G40"/>
    <mergeCell ref="B50:C50"/>
    <mergeCell ref="B51:C51"/>
    <mergeCell ref="B53:C53"/>
    <mergeCell ref="F51:G51"/>
    <mergeCell ref="E52:F52"/>
    <mergeCell ref="E53:G53"/>
    <mergeCell ref="A41:G41"/>
    <mergeCell ref="A42:G42"/>
    <mergeCell ref="F44:G44"/>
    <mergeCell ref="B45:C45"/>
    <mergeCell ref="F45:G45"/>
    <mergeCell ref="F48:G48"/>
    <mergeCell ref="F50:G50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