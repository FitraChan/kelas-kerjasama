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<sst xmlns="http://schemas.openxmlformats.org/spreadsheetml/2006/main" count="45" uniqueCount="37">
  <si>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</si>
  <si>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</si>
  <si>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</si>
  <si>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240030454</t>
  </si>
  <si>
    <t>Nama     : I Wayan Brati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</si>
  <si>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</si>
  <si>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</si>
  <si>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</si>
  <si>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</si>
  <si>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</si>
  <si>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</si>
  <si>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</si>
  <si>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</si>
  <si>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</si>
  <si>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</si>
  <si>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</si>
  <si>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</si>
  <si>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</si>
  <si>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</si>
  <si>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Mahasiswa RENIM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</si>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</sst>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4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horizontal="right" vertical="center"/>
    </xf>
    <xf borderId="5" fillId="0" fontId="9" numFmtId="166" xfId="0" applyAlignment="1" applyBorder="1" applyFont="1" applyNumberFormat="1">
      <alignment horizontal="right" readingOrder="0" vertical="center"/>
    </xf>
    <xf borderId="5" fillId="0" fontId="9" numFmtId="164" xfId="0" applyAlignment="1" applyBorder="1" applyFont="1" applyNumberFormat="1">
      <alignment horizontal="right" readingOrder="0" vertical="center"/>
    </xf>
    <xf borderId="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5" fillId="0" fontId="9" numFmtId="0" xfId="0" applyAlignment="1" applyBorder="1" applyFont="1">
      <alignment horizontal="center" readingOrder="0" vertical="center"/>
    </xf>
    <xf borderId="3" fillId="0" fontId="9" numFmtId="164" xfId="0" applyAlignment="1" applyBorder="1" applyFont="1" applyNumberFormat="1">
      <alignment horizontal="right" readingOrder="0" vertical="center"/>
    </xf>
    <xf borderId="5" fillId="0" fontId="9" numFmtId="166" xfId="0" applyAlignment="1" applyBorder="1" applyFont="1" applyNumberFormat="1">
      <alignment readingOrder="0" vertical="center"/>
    </xf>
    <xf borderId="5" fillId="0" fontId="9" numFmtId="164" xfId="0" applyAlignment="1" applyBorder="1" applyFont="1" applyNumberFormat="1">
      <alignment readingOrder="0" vertical="center"/>
    </xf>
    <xf borderId="6" fillId="0" fontId="9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readingOrder="0" vertical="center"/>
    </xf>
    <xf borderId="7" fillId="0" fontId="9" numFmtId="164" xfId="0" applyAlignment="1" applyBorder="1" applyFont="1" applyNumberFormat="1">
      <alignment readingOrder="0" vertical="center"/>
    </xf>
    <xf borderId="4" fillId="0" fontId="9" numFmtId="165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7" fillId="0" fontId="9" numFmtId="164" xfId="0" applyAlignment="1" applyBorder="1" applyFont="1" applyNumberFormat="1">
      <alignment vertical="center"/>
    </xf>
    <xf borderId="8" fillId="0" fontId="9" numFmtId="0" xfId="0" applyAlignment="1" applyBorder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9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7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164" xfId="0" applyAlignment="1" applyBorder="1" applyFont="1" applyNumberFormat="1">
      <alignment vertical="center"/>
    </xf>
    <xf borderId="9" fillId="2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9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7" fillId="4" fontId="10" numFmtId="164" xfId="0" applyAlignment="1" applyBorder="1" applyFont="1" applyNumberFormat="1">
      <alignment horizontal="center" vertical="center"/>
    </xf>
    <xf borderId="7" fillId="4" fontId="1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>
        <v>45553.0</v>
      </c>
      <c r="E14" s="25">
        <v>6000000.0</v>
      </c>
      <c r="F14" s="23">
        <f>C14-E14</f>
        <v>0</v>
      </c>
      <c r="G14" s="26" t="str">
        <f t="shared" ref="G14:G16" si="1">if(C14&lt;=E14,"Lunas","Tunggakan")</f>
        <v>Lunas</v>
      </c>
      <c r="H14" s="27"/>
      <c r="I14" s="28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9">
        <v>2.0</v>
      </c>
      <c r="B15" s="22" t="s">
        <v>14</v>
      </c>
      <c r="C15" s="30">
        <v>6000000.0</v>
      </c>
      <c r="D15" s="31">
        <v>45723.0</v>
      </c>
      <c r="E15" s="32">
        <v>3000000.0</v>
      </c>
      <c r="F15" s="23">
        <f>C15-E15-E16</f>
        <v>0</v>
      </c>
      <c r="G15" s="26" t="str">
        <f t="shared" si="1"/>
        <v>Tunggakan</v>
      </c>
      <c r="H15" s="27"/>
      <c r="I15" s="28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3">
        <v>3.0</v>
      </c>
      <c r="B16" s="34" t="s">
        <v>15</v>
      </c>
      <c r="C16" s="35">
        <v>6000000.0</v>
      </c>
      <c r="D16" s="36">
        <v>45898.0</v>
      </c>
      <c r="E16" s="37">
        <v>3000000.0</v>
      </c>
      <c r="F16" s="38">
        <f>C16-E17</f>
        <v>3000000</v>
      </c>
      <c r="G16" s="39" t="str">
        <f t="shared" si="1"/>
        <v>Tunggakan</v>
      </c>
      <c r="H16" s="27"/>
      <c r="I16" s="28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40"/>
      <c r="B17" s="41"/>
      <c r="C17" s="41"/>
      <c r="D17" s="36">
        <v>45898.0</v>
      </c>
      <c r="E17" s="37">
        <v>3000000.0</v>
      </c>
      <c r="F17" s="41"/>
      <c r="G17" s="40"/>
      <c r="H17" s="27"/>
      <c r="I17" s="28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42"/>
      <c r="B18" s="43"/>
      <c r="C18" s="44"/>
      <c r="D18" s="45"/>
      <c r="E18" s="44"/>
      <c r="F18" s="44"/>
      <c r="G18" s="46"/>
      <c r="H18" s="27"/>
      <c r="I18" s="28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47" t="s">
        <v>16</v>
      </c>
      <c r="B19" s="48"/>
      <c r="C19" s="49">
        <f>sum(C14:C18)</f>
        <v>18000000</v>
      </c>
      <c r="D19" s="50"/>
      <c r="E19" s="50">
        <f t="shared" ref="E19:F19" si="2">SUM(E14:E18)</f>
        <v>15000000</v>
      </c>
      <c r="F19" s="50">
        <f t="shared" si="2"/>
        <v>3000000</v>
      </c>
      <c r="G19" s="51"/>
      <c r="H19" s="52"/>
      <c r="I19" s="52"/>
      <c r="J19" s="52"/>
      <c r="K19" s="53"/>
      <c r="L19" s="54"/>
      <c r="M19" s="54"/>
      <c r="N19" s="54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55"/>
      <c r="B20" s="5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6" t="s">
        <v>17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7">
        <v>1.0</v>
      </c>
      <c r="B24" s="58" t="s">
        <v>18</v>
      </c>
      <c r="C24" s="59" t="s">
        <v>19</v>
      </c>
      <c r="G24" s="60"/>
      <c r="H24" s="27"/>
      <c r="I24" s="27"/>
      <c r="J24" s="27"/>
      <c r="K24" s="61"/>
      <c r="L24" s="62"/>
      <c r="M24" s="62"/>
      <c r="N24" s="62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57">
        <v>2.0</v>
      </c>
      <c r="B25" s="43" t="s">
        <v>20</v>
      </c>
      <c r="G25" s="60"/>
      <c r="H25" s="27"/>
      <c r="I25" s="27"/>
      <c r="J25" s="27"/>
      <c r="K25" s="61"/>
      <c r="L25" s="62"/>
      <c r="M25" s="62"/>
      <c r="N25" s="62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7">
        <v>3.0</v>
      </c>
      <c r="B26" s="58" t="s">
        <v>21</v>
      </c>
      <c r="C26" s="48"/>
      <c r="D26" s="48"/>
      <c r="E26" s="48"/>
      <c r="F26" s="48"/>
      <c r="G26" s="41"/>
      <c r="H26" s="27"/>
      <c r="I26" s="27"/>
      <c r="J26" s="27"/>
      <c r="K26" s="61"/>
      <c r="L26" s="62"/>
      <c r="M26" s="62"/>
      <c r="N26" s="62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57">
        <v>4.0</v>
      </c>
      <c r="B27" s="58" t="s">
        <v>22</v>
      </c>
      <c r="C27" s="44"/>
      <c r="D27" s="45"/>
      <c r="E27" s="44"/>
      <c r="F27" s="63"/>
      <c r="G27" s="43"/>
      <c r="H27" s="27"/>
      <c r="I27" s="27"/>
      <c r="J27" s="27"/>
      <c r="K27" s="61"/>
      <c r="L27" s="62"/>
      <c r="M27" s="62"/>
      <c r="N27" s="62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64" t="s">
        <v>23</v>
      </c>
      <c r="B28" s="48"/>
      <c r="C28" s="65">
        <f>sum(C24:C27)</f>
        <v>0</v>
      </c>
      <c r="D28" s="66"/>
      <c r="E28" s="67">
        <f>sum(E24:E27)</f>
        <v>0</v>
      </c>
      <c r="F28" s="67">
        <f>SUM(F24:F27)</f>
        <v>0</v>
      </c>
      <c r="G28" s="68"/>
      <c r="H28" s="69"/>
      <c r="I28" s="69"/>
      <c r="J28" s="69"/>
      <c r="K28" s="70"/>
      <c r="L28" s="71"/>
      <c r="M28" s="71"/>
      <c r="N28" s="71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>
      <c r="A29" s="72" t="s">
        <v>24</v>
      </c>
      <c r="B29" s="48"/>
      <c r="C29" s="73">
        <f>C19+C28</f>
        <v>18000000</v>
      </c>
      <c r="D29" s="74"/>
      <c r="E29" s="75">
        <f>E28+E19</f>
        <v>15000000</v>
      </c>
      <c r="F29" s="76">
        <f>F19+F28</f>
        <v>3000000</v>
      </c>
      <c r="G29" s="77"/>
      <c r="H29" s="69"/>
      <c r="I29" s="69"/>
      <c r="J29" s="69"/>
      <c r="K29" s="70"/>
      <c r="L29" s="71"/>
      <c r="M29" s="71"/>
      <c r="N29" s="71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>
      <c r="A30" s="55"/>
      <c r="B30" s="78"/>
      <c r="E30" s="3"/>
      <c r="F30" s="7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9"/>
      <c r="B31" s="9"/>
      <c r="C31" s="10"/>
      <c r="D31" s="10"/>
      <c r="E31" s="80"/>
      <c r="F31" s="9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1" t="s">
        <v>25</v>
      </c>
      <c r="G32" s="82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1" t="s">
        <v>26</v>
      </c>
      <c r="G33" s="82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1" t="s">
        <v>27</v>
      </c>
      <c r="G34" s="82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3" t="s">
        <v>28</v>
      </c>
      <c r="B35" s="10"/>
      <c r="C35" s="10"/>
      <c r="D35" s="10"/>
      <c r="E35" s="10"/>
      <c r="F35" s="10"/>
      <c r="G35" s="84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5" t="s">
        <v>29</v>
      </c>
      <c r="G36" s="86">
        <v>45723.0</v>
      </c>
      <c r="H36" s="87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8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8" t="s">
        <v>31</v>
      </c>
      <c r="D38" s="4"/>
      <c r="E38" s="3"/>
      <c r="F38" s="88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8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9" t="s">
        <v>33</v>
      </c>
      <c r="C43" s="10"/>
      <c r="D43" s="4"/>
      <c r="E43" s="3"/>
      <c r="F43" s="90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1" t="s">
        <v>35</v>
      </c>
      <c r="D44" s="4"/>
      <c r="E44" s="3"/>
      <c r="F44" s="92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8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8"/>
      <c r="D46" s="4"/>
      <c r="E46" s="78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5">
    <mergeCell ref="C2:G2"/>
    <mergeCell ref="C4:G4"/>
    <mergeCell ref="A5:G5"/>
    <mergeCell ref="A7:H7"/>
    <mergeCell ref="A8:H8"/>
    <mergeCell ref="A9:H9"/>
    <mergeCell ref="A10:G10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  <mergeCell ref="A16:A17"/>
    <mergeCell ref="B16:B17"/>
    <mergeCell ref="C16:C17"/>
    <mergeCell ref="F16:F17"/>
    <mergeCell ref="G16:G17"/>
    <mergeCell ref="A19:B19"/>
    <mergeCell ref="C24:G26"/>
    <mergeCell ref="A28:B28"/>
    <mergeCell ref="A29:B29"/>
    <mergeCell ref="B30:D30"/>
    <mergeCell ref="F30:G30"/>
    <mergeCell ref="F31:G3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