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<sst xmlns="http://schemas.openxmlformats.org/spreadsheetml/2006/main" count="47" uniqueCount="39">
  <si>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</si>
  <si>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</si>
  <si>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</si>
  <si>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230010099</t>
  </si>
  <si>
    <t>Nama     : Muhammad Ilham Hidayatullah</t>
  </si>
  <si>
    <t>Prodi      : S1-SK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</si>
  <si>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</si>
  <si>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</si>
  <si>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</si>
  <si>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</si>
  <si>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</si>
  <si>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</si>
  <si>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</si>
  <si>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Genap 2023/2024 (II) </t>
  </si>
  <si>
    <t>Reguler (pengalihan dana 1-3-24 007/MBC/III/2024)</t>
  </si>
  <si>
    <t>Ganjil 2024/2025 (III)</t>
  </si>
  <si>
    <t xml:space="preserve">Genap 2024/2025 (IV) </t>
  </si>
  <si>
    <t>Ganjil 2025/2026 (V)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</si>
  <si>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</si>
  <si>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</si>
  <si>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</si>
  <si>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Pindahan Dari Reguler (Magang Ke Jepang)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</si>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</sst>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0" xfId="0" applyAlignment="1" applyBorder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5" xfId="0" applyAlignment="1" applyBorder="1" applyFont="1" applyNumberFormat="1">
      <alignment vertical="center"/>
    </xf>
    <xf borderId="5" fillId="3" fontId="9" numFmtId="0" xfId="0" applyAlignment="1" applyBorder="1" applyFont="1">
      <alignment readingOrder="0"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7" fillId="3" fontId="1" numFmtId="164" xfId="0" applyAlignment="1" applyBorder="1" applyFont="1" applyNumberForma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10" fillId="0" fontId="6" numFmtId="0" xfId="0" applyBorder="1" applyFont="1"/>
    <xf borderId="11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4" fillId="3" fontId="9" numFmtId="164" xfId="0" applyAlignment="1" applyBorder="1" applyFont="1" applyNumberFormat="1">
      <alignment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readingOrder="0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11" fillId="4" fontId="10" numFmtId="164" xfId="0" applyAlignment="1" applyBorder="1" applyFont="1" applyNumberFormat="1">
      <alignment horizontal="center" vertical="center"/>
    </xf>
    <xf borderId="11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86"/>
    <col customWidth="1" min="4" max="4" width="19.71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 t="s">
        <v>14</v>
      </c>
      <c r="E14" s="25">
        <v>5500000.0</v>
      </c>
      <c r="F14" s="23">
        <f t="shared" ref="F14:F17" si="1">C14-E14</f>
        <v>500000</v>
      </c>
      <c r="G14" s="26" t="str">
        <f t="shared" ref="G14:G17" si="2">if(E14&gt;=C14,"Lunas","Tunggakan")</f>
        <v>Tunggakan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>
        <v>2.0</v>
      </c>
      <c r="B15" s="22" t="s">
        <v>15</v>
      </c>
      <c r="C15" s="25">
        <v>6000000.0</v>
      </c>
      <c r="D15" s="30"/>
      <c r="E15" s="25">
        <v>0.0</v>
      </c>
      <c r="F15" s="23">
        <f t="shared" si="1"/>
        <v>6000000</v>
      </c>
      <c r="G15" s="26" t="str">
        <f t="shared" si="2"/>
        <v>Tunggakan</v>
      </c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29">
        <v>3.0</v>
      </c>
      <c r="B16" s="31" t="s">
        <v>16</v>
      </c>
      <c r="C16" s="25">
        <v>6000000.0</v>
      </c>
      <c r="D16" s="30"/>
      <c r="E16" s="25">
        <v>0.0</v>
      </c>
      <c r="F16" s="25">
        <f t="shared" si="1"/>
        <v>6000000</v>
      </c>
      <c r="G16" s="26" t="str">
        <f t="shared" si="2"/>
        <v>Tunggakan</v>
      </c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29">
        <v>4.0</v>
      </c>
      <c r="B17" s="31" t="s">
        <v>17</v>
      </c>
      <c r="C17" s="25">
        <v>6000000.0</v>
      </c>
      <c r="D17" s="30"/>
      <c r="E17" s="25">
        <v>0.0</v>
      </c>
      <c r="F17" s="23">
        <f t="shared" si="1"/>
        <v>6000000</v>
      </c>
      <c r="G17" s="26" t="str">
        <f t="shared" si="2"/>
        <v>Tunggakan</v>
      </c>
      <c r="H17" s="27"/>
      <c r="I17" s="32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3"/>
      <c r="B18" s="34"/>
      <c r="C18" s="35"/>
      <c r="D18" s="36"/>
      <c r="E18" s="35"/>
      <c r="F18" s="35"/>
      <c r="G18" s="37"/>
      <c r="H18" s="27"/>
      <c r="I18" s="32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8" t="s">
        <v>18</v>
      </c>
      <c r="B19" s="39"/>
      <c r="C19" s="40">
        <f>sum(C14:C18)</f>
        <v>24000000</v>
      </c>
      <c r="D19" s="41"/>
      <c r="E19" s="41">
        <f t="shared" ref="E19:F19" si="3">SUM(E14:E18)</f>
        <v>5500000</v>
      </c>
      <c r="F19" s="41">
        <f t="shared" si="3"/>
        <v>18500000</v>
      </c>
      <c r="G19" s="42"/>
      <c r="H19" s="43"/>
      <c r="I19" s="43"/>
      <c r="J19" s="43"/>
      <c r="K19" s="44"/>
      <c r="L19" s="45"/>
      <c r="M19" s="45"/>
      <c r="N19" s="45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6"/>
      <c r="B20" s="46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7" t="s">
        <v>19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8">
        <v>1.0</v>
      </c>
      <c r="B24" s="49" t="s">
        <v>20</v>
      </c>
      <c r="C24" s="50" t="s">
        <v>21</v>
      </c>
      <c r="D24" s="51"/>
      <c r="E24" s="51"/>
      <c r="F24" s="51"/>
      <c r="G24" s="52"/>
      <c r="H24" s="27"/>
      <c r="I24" s="27"/>
      <c r="J24" s="27"/>
      <c r="K24" s="53"/>
      <c r="L24" s="54"/>
      <c r="M24" s="54"/>
      <c r="N24" s="54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48">
        <v>2.0</v>
      </c>
      <c r="B25" s="34" t="s">
        <v>22</v>
      </c>
      <c r="C25" s="55"/>
      <c r="G25" s="56"/>
      <c r="H25" s="27"/>
      <c r="I25" s="27"/>
      <c r="J25" s="27"/>
      <c r="K25" s="53"/>
      <c r="L25" s="54"/>
      <c r="M25" s="54"/>
      <c r="N25" s="54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48">
        <v>3.0</v>
      </c>
      <c r="B26" s="49" t="s">
        <v>23</v>
      </c>
      <c r="C26" s="57"/>
      <c r="D26" s="39"/>
      <c r="E26" s="39"/>
      <c r="F26" s="39"/>
      <c r="G26" s="58"/>
      <c r="H26" s="27"/>
      <c r="I26" s="27"/>
      <c r="J26" s="27"/>
      <c r="K26" s="53"/>
      <c r="L26" s="54"/>
      <c r="M26" s="54"/>
      <c r="N26" s="54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48">
        <v>4.0</v>
      </c>
      <c r="B27" s="49" t="s">
        <v>24</v>
      </c>
      <c r="C27" s="35"/>
      <c r="D27" s="36"/>
      <c r="E27" s="35"/>
      <c r="F27" s="59"/>
      <c r="G27" s="34"/>
      <c r="H27" s="27"/>
      <c r="I27" s="27"/>
      <c r="J27" s="27"/>
      <c r="K27" s="53"/>
      <c r="L27" s="54"/>
      <c r="M27" s="54"/>
      <c r="N27" s="54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60" t="s">
        <v>25</v>
      </c>
      <c r="B28" s="39"/>
      <c r="C28" s="40">
        <f>sum(C24:C27)</f>
        <v>0</v>
      </c>
      <c r="D28" s="61"/>
      <c r="E28" s="41">
        <f>sum(E24:E27)</f>
        <v>0</v>
      </c>
      <c r="F28" s="41">
        <f>SUM(F24:F27)</f>
        <v>0</v>
      </c>
      <c r="G28" s="42"/>
      <c r="H28" s="43"/>
      <c r="I28" s="43"/>
      <c r="J28" s="43"/>
      <c r="K28" s="44"/>
      <c r="L28" s="45"/>
      <c r="M28" s="45"/>
      <c r="N28" s="45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62" t="s">
        <v>26</v>
      </c>
      <c r="B29" s="39"/>
      <c r="C29" s="63">
        <f>C19+C28</f>
        <v>24000000</v>
      </c>
      <c r="D29" s="64"/>
      <c r="E29" s="65">
        <f>E28+E19</f>
        <v>5500000</v>
      </c>
      <c r="F29" s="66">
        <f>F19+F28</f>
        <v>18500000</v>
      </c>
      <c r="G29" s="67"/>
      <c r="H29" s="43"/>
      <c r="I29" s="43"/>
      <c r="J29" s="43"/>
      <c r="K29" s="44"/>
      <c r="L29" s="45"/>
      <c r="M29" s="45"/>
      <c r="N29" s="45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6"/>
      <c r="B30" s="68"/>
      <c r="E30" s="3"/>
      <c r="F30" s="69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0"/>
      <c r="B31" s="9"/>
      <c r="C31" s="10"/>
      <c r="D31" s="10"/>
      <c r="E31" s="71"/>
      <c r="F31" s="72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3" t="s">
        <v>27</v>
      </c>
      <c r="G32" s="74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3" t="s">
        <v>28</v>
      </c>
      <c r="G33" s="74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3" t="s">
        <v>29</v>
      </c>
      <c r="G34" s="74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5" t="s">
        <v>30</v>
      </c>
      <c r="B35" s="10"/>
      <c r="C35" s="10"/>
      <c r="D35" s="10"/>
      <c r="E35" s="10"/>
      <c r="F35" s="10"/>
      <c r="G35" s="76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7" t="s">
        <v>31</v>
      </c>
      <c r="G36" s="78">
        <v>45352.0</v>
      </c>
      <c r="H36" s="79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0" t="s">
        <v>32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0" t="s">
        <v>33</v>
      </c>
      <c r="D38" s="4"/>
      <c r="E38" s="3"/>
      <c r="F38" s="80" t="s">
        <v>34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9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1" t="s">
        <v>35</v>
      </c>
      <c r="C43" s="10"/>
      <c r="D43" s="4"/>
      <c r="E43" s="3"/>
      <c r="F43" s="81" t="s">
        <v>36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37</v>
      </c>
      <c r="D44" s="4"/>
      <c r="E44" s="3"/>
      <c r="F44" s="83" t="s">
        <v>38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9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8"/>
      <c r="D46" s="4"/>
      <c r="E46" s="69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9:B19"/>
    <mergeCell ref="C24:G26"/>
    <mergeCell ref="A28:B28"/>
    <mergeCell ref="A29:B29"/>
    <mergeCell ref="B30:D30"/>
    <mergeCell ref="F30:G30"/>
    <mergeCell ref="F31:G31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