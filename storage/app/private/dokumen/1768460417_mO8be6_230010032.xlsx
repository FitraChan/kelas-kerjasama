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<sst xmlns="http://schemas.openxmlformats.org/spreadsheetml/2006/main" count="51" uniqueCount="41">
  <si>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</si>
  <si>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</si>
  <si>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</si>
  <si>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230010032</t>
  </si>
  <si>
    <t>Nama     : Keren Angelia Miha Balo</t>
  </si>
  <si>
    <t>Prodi      : S1-SK</t>
  </si>
  <si>
    <r>
      <rPr>
        <rFont val="Times New Roman"/>
        <color theme="1"/>
        <sz val="15.0"/>
      </rPr>
      <t>I</t>
    </r>
    <r>
      <rPr>
        <rFont val="Times New Roman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</si>
  <si>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</si>
  <si>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</si>
  <si>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</si>
  <si>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</si>
  <si>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</si>
  <si>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</si>
  <si>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Genap 2023/2024</t>
  </si>
  <si>
    <t>Reguler (pengalihan dana 1-3-24 007/MBC/III/2024)</t>
  </si>
  <si>
    <t xml:space="preserve">dana talangan </t>
  </si>
  <si>
    <t>Ganjil 2024/2025</t>
  </si>
  <si>
    <t>Genap 2024/2025</t>
  </si>
  <si>
    <t>Ganjil 2025/2026</t>
  </si>
  <si>
    <t xml:space="preserve">mandiri </t>
  </si>
  <si>
    <t xml:space="preserve">Total </t>
  </si>
  <si>
    <r>
      <rPr>
        <rFont val="&quot;Times New Roman&quot;"/>
        <color theme="1"/>
        <sz val="16.0"/>
      </rPr>
      <t>II</t>
    </r>
    <r>
      <rPr>
        <rFont val="&quot;Times New Roman&quot;"/>
        <b/>
        <color theme="1"/>
        <sz val="16.0"/>
      </rPr>
      <t>. Biaya Lain-lain</t>
    </r>
  </si>
  <si>
    <t>Pembayaran Pendaftaran</t>
  </si>
  <si>
    <t>Pindahan Dari Reguler (Magang Ke Jepang)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</si>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</sst>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9">
    <font>
      <sz val="11.0"/>
      <color theme="1"/>
      <name val="Calibri"/>
      <scheme val="minor"/>
    </font>
    <font>
      <b/>
      <sz val="12.0"/>
      <color theme="1"/>
      <name val="Times New Roman"/>
    </font>
    <font>
      <sz val="11.0"/>
      <color theme="1"/>
      <name val="Calibri"/>
    </font>
    <font>
      <b/>
      <sz val="29.0"/>
      <color theme="1"/>
      <name val="Times New Roman"/>
    </font>
    <font>
      <sz val="16.0"/>
      <color theme="1"/>
      <name val="Times New Roman"/>
    </font>
    <font>
      <color theme="1"/>
      <name val="Calibri"/>
    </font>
    <font/>
    <font>
      <sz val="15.0"/>
      <color rgb="FF000000"/>
      <name val="Times New Roman"/>
    </font>
    <font>
      <b/>
      <sz val="15.0"/>
      <color theme="1"/>
      <name val="Times New Roman"/>
    </font>
    <font>
      <sz val="12.0"/>
      <color theme="1"/>
      <name val="Times New Roman"/>
    </font>
    <font>
      <sz val="12.0"/>
      <color theme="1"/>
      <name val="Calibri"/>
    </font>
    <font>
      <sz val="12.0"/>
      <color theme="1"/>
      <name val="Calibri"/>
      <scheme val="minor"/>
    </font>
    <font>
      <b/>
      <sz val="14.0"/>
      <color theme="1"/>
      <name val="Times New Roman"/>
    </font>
    <font>
      <b/>
      <sz val="14.0"/>
      <color theme="1"/>
      <name val="Calibri"/>
    </font>
    <font>
      <sz val="16.0"/>
      <color rgb="FF000000"/>
      <name val="Times New Roman"/>
    </font>
    <font>
      <b/>
      <sz val="12.0"/>
      <color theme="1"/>
      <name val="Calibri"/>
    </font>
    <font>
      <color theme="1"/>
      <name val="Calibri"/>
      <scheme val="minor"/>
    </font>
    <font>
      <b/>
      <sz val="12.0"/>
      <color rgb="FF1F1F1F"/>
      <name val="Times New Roman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10" numFmtId="0" xfId="0" applyAlignment="1" applyBorder="1" applyFill="1" applyFont="1">
      <alignment readingOrder="0" shrinkToFit="0" vertical="center" wrapText="1"/>
    </xf>
    <xf borderId="5" fillId="0" fontId="10" numFmtId="164" xfId="0" applyAlignment="1" applyBorder="1" applyFont="1" applyNumberFormat="1">
      <alignment readingOrder="0" vertical="center"/>
    </xf>
    <xf borderId="5" fillId="0" fontId="10" numFmtId="0" xfId="0" applyAlignment="1" applyBorder="1" applyFont="1">
      <alignment readingOrder="0" shrinkToFit="0" vertical="center" wrapText="1"/>
    </xf>
    <xf borderId="5" fillId="0" fontId="10" numFmtId="164" xfId="0" applyAlignment="1" applyBorder="1" applyFont="1" applyNumberFormat="1">
      <alignment vertical="center"/>
    </xf>
    <xf borderId="5" fillId="0" fontId="10" numFmtId="0" xfId="0" applyAlignment="1" applyBorder="1" applyFont="1">
      <alignment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10" numFmtId="165" xfId="0" applyAlignment="1" applyBorder="1" applyFont="1" applyNumberFormat="1">
      <alignment vertical="center"/>
    </xf>
    <xf borderId="5" fillId="0" fontId="10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readingOrder="0" vertical="center"/>
    </xf>
    <xf borderId="0" fillId="0" fontId="10" numFmtId="167" xfId="0" applyAlignment="1" applyFont="1" applyNumberFormat="1">
      <alignment vertical="center"/>
    </xf>
    <xf borderId="3" fillId="0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vertical="center"/>
    </xf>
    <xf borderId="4" fillId="0" fontId="10" numFmtId="164" xfId="0" applyAlignment="1" applyBorder="1" applyFont="1" applyNumberFormat="1">
      <alignment vertical="center"/>
    </xf>
    <xf borderId="4" fillId="0" fontId="10" numFmtId="165" xfId="0" applyAlignment="1" applyBorder="1" applyFont="1" applyNumberFormat="1">
      <alignment vertical="center"/>
    </xf>
    <xf borderId="4" fillId="0" fontId="10" numFmtId="0" xfId="0" applyAlignment="1" applyBorder="1" applyFont="1">
      <alignment vertical="center"/>
    </xf>
    <xf borderId="6" fillId="2" fontId="12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2" numFmtId="164" xfId="0" applyAlignment="1" applyBorder="1" applyFont="1" applyNumberForma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2" numFmtId="164" xfId="0" applyAlignment="1" applyBorder="1" applyFont="1" applyNumberFormat="1">
      <alignment horizontal="center" vertical="center"/>
    </xf>
    <xf borderId="4" fillId="2" fontId="13" numFmtId="164" xfId="0" applyAlignment="1" applyBorder="1" applyFont="1" applyNumberFormat="1">
      <alignment horizontal="center" vertical="center"/>
    </xf>
    <xf borderId="4" fillId="2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13" numFmtId="166" xfId="0" applyAlignment="1" applyFont="1" applyNumberFormat="1">
      <alignment vertical="center"/>
    </xf>
    <xf borderId="0" fillId="0" fontId="13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4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7" fillId="3" fontId="15" numFmtId="164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4" fillId="3" fontId="9" numFmtId="0" xfId="0" applyAlignment="1" applyBorder="1" applyFont="1">
      <alignment vertical="center"/>
    </xf>
    <xf borderId="10" fillId="0" fontId="6" numFmtId="0" xfId="0" applyBorder="1" applyFont="1"/>
    <xf borderId="11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4" fillId="3" fontId="10" numFmtId="164" xfId="0" applyAlignment="1" applyBorder="1" applyFont="1" applyNumberFormat="1">
      <alignment vertical="center"/>
    </xf>
    <xf borderId="6" fillId="2" fontId="12" numFmtId="0" xfId="0" applyAlignment="1" applyBorder="1" applyFont="1">
      <alignment horizontal="center" vertical="center"/>
    </xf>
    <xf borderId="2" fillId="2" fontId="12" numFmtId="164" xfId="0" applyAlignment="1" applyBorder="1" applyFont="1" applyNumberFormat="1">
      <alignment horizontal="center" vertical="center"/>
    </xf>
    <xf borderId="4" fillId="2" fontId="12" numFmtId="0" xfId="0" applyAlignment="1" applyBorder="1" applyFont="1">
      <alignment horizontal="center" vertical="center"/>
    </xf>
    <xf borderId="6" fillId="4" fontId="12" numFmtId="0" xfId="0" applyAlignment="1" applyBorder="1" applyFill="1" applyFont="1">
      <alignment horizontal="center" vertical="center"/>
    </xf>
    <xf borderId="2" fillId="4" fontId="12" numFmtId="164" xfId="0" applyAlignment="1" applyBorder="1" applyFont="1" applyNumberFormat="1">
      <alignment horizontal="center" vertical="center"/>
    </xf>
    <xf borderId="4" fillId="4" fontId="12" numFmtId="0" xfId="0" applyAlignment="1" applyBorder="1" applyFont="1">
      <alignment horizontal="center" vertical="center"/>
    </xf>
    <xf borderId="4" fillId="4" fontId="12" numFmtId="164" xfId="0" applyAlignment="1" applyBorder="1" applyFont="1" applyNumberFormat="1">
      <alignment horizontal="center" vertical="center"/>
    </xf>
    <xf borderId="11" fillId="4" fontId="13" numFmtId="164" xfId="0" applyAlignment="1" applyBorder="1" applyFont="1" applyNumberFormat="1">
      <alignment horizontal="center" vertical="center"/>
    </xf>
    <xf borderId="11" fillId="4" fontId="13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14" fillId="0" fontId="9" numFmtId="165" xfId="0" applyAlignment="1" applyBorder="1" applyFont="1" applyNumberFormat="1">
      <alignment vertical="center"/>
    </xf>
    <xf borderId="15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7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8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86"/>
    <col customWidth="1" min="4" max="4" width="19.14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 t="s">
        <v>14</v>
      </c>
      <c r="E14" s="22">
        <v>2750000.0</v>
      </c>
      <c r="F14" s="24">
        <f t="shared" ref="F14:F15" si="1">C14-E14</f>
        <v>3250000</v>
      </c>
      <c r="G14" s="25" t="str">
        <f t="shared" ref="G14:G17" si="2">if(E14&gt;=C14,"Lunas","Tunggakan")</f>
        <v>Tunggakan</v>
      </c>
      <c r="H14" s="26" t="s">
        <v>15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8"/>
      <c r="W14" s="28"/>
      <c r="X14" s="28"/>
      <c r="Y14" s="28"/>
      <c r="Z14" s="28"/>
    </row>
    <row r="15">
      <c r="A15" s="29">
        <v>2.0</v>
      </c>
      <c r="B15" s="21" t="s">
        <v>16</v>
      </c>
      <c r="C15" s="22">
        <v>6000000.0</v>
      </c>
      <c r="D15" s="30"/>
      <c r="E15" s="22">
        <v>0.0</v>
      </c>
      <c r="F15" s="24">
        <f t="shared" si="1"/>
        <v>6000000</v>
      </c>
      <c r="G15" s="25" t="str">
        <f t="shared" si="2"/>
        <v>Tunggakan</v>
      </c>
      <c r="H15" s="26" t="s">
        <v>15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8"/>
      <c r="W15" s="28"/>
      <c r="X15" s="28"/>
      <c r="Y15" s="28"/>
      <c r="Z15" s="28"/>
    </row>
    <row r="16">
      <c r="A16" s="31">
        <v>3.0</v>
      </c>
      <c r="B16" s="32" t="s">
        <v>17</v>
      </c>
      <c r="C16" s="22">
        <v>6000000.0</v>
      </c>
      <c r="D16" s="30"/>
      <c r="E16" s="22">
        <v>0.0</v>
      </c>
      <c r="F16" s="22">
        <v>6000000.0</v>
      </c>
      <c r="G16" s="25" t="str">
        <f t="shared" si="2"/>
        <v>Tunggakan</v>
      </c>
      <c r="H16" s="26" t="s">
        <v>15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8"/>
      <c r="W16" s="28"/>
      <c r="X16" s="28"/>
      <c r="Y16" s="28"/>
      <c r="Z16" s="28"/>
    </row>
    <row r="17">
      <c r="A17" s="31">
        <v>4.0</v>
      </c>
      <c r="B17" s="32" t="s">
        <v>18</v>
      </c>
      <c r="C17" s="22">
        <v>6000000.0</v>
      </c>
      <c r="D17" s="30"/>
      <c r="E17" s="22">
        <v>3000000.0</v>
      </c>
      <c r="F17" s="24">
        <f>C17-E17</f>
        <v>3000000</v>
      </c>
      <c r="G17" s="25" t="str">
        <f t="shared" si="2"/>
        <v>Tunggakan</v>
      </c>
      <c r="H17" s="26" t="s">
        <v>19</v>
      </c>
      <c r="I17" s="33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34"/>
      <c r="B18" s="35"/>
      <c r="C18" s="36"/>
      <c r="D18" s="37"/>
      <c r="E18" s="36"/>
      <c r="F18" s="36"/>
      <c r="G18" s="38"/>
      <c r="H18" s="27"/>
      <c r="I18" s="33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9" t="s">
        <v>20</v>
      </c>
      <c r="B19" s="40"/>
      <c r="C19" s="41">
        <f>sum(C14:C18)</f>
        <v>24000000</v>
      </c>
      <c r="D19" s="42"/>
      <c r="E19" s="43">
        <f t="shared" ref="E19:F19" si="3">SUM(E14:E18)</f>
        <v>5750000</v>
      </c>
      <c r="F19" s="44">
        <f t="shared" si="3"/>
        <v>18250000</v>
      </c>
      <c r="G19" s="45"/>
      <c r="H19" s="46"/>
      <c r="I19" s="46"/>
      <c r="J19" s="46"/>
      <c r="K19" s="47"/>
      <c r="L19" s="48"/>
      <c r="M19" s="48"/>
      <c r="N19" s="48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>
      <c r="A20" s="49"/>
      <c r="B20" s="49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0" t="s">
        <v>21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3"/>
      <c r="B22" s="13"/>
      <c r="C22" s="14"/>
      <c r="D22" s="15"/>
      <c r="E22" s="14"/>
      <c r="F22" s="14"/>
      <c r="G22" s="13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6" t="s">
        <v>7</v>
      </c>
      <c r="B23" s="17" t="s">
        <v>8</v>
      </c>
      <c r="C23" s="18" t="s">
        <v>9</v>
      </c>
      <c r="D23" s="19" t="s">
        <v>10</v>
      </c>
      <c r="E23" s="18" t="s">
        <v>11</v>
      </c>
      <c r="F23" s="18" t="s">
        <v>12</v>
      </c>
      <c r="G23" s="17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1">
        <v>1.0</v>
      </c>
      <c r="B24" s="52" t="s">
        <v>22</v>
      </c>
      <c r="C24" s="53" t="s">
        <v>23</v>
      </c>
      <c r="D24" s="54"/>
      <c r="E24" s="54"/>
      <c r="F24" s="54"/>
      <c r="G24" s="55"/>
      <c r="H24" s="27"/>
      <c r="I24" s="27"/>
      <c r="J24" s="27"/>
      <c r="K24" s="56"/>
      <c r="L24" s="57"/>
      <c r="M24" s="57"/>
      <c r="N24" s="5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51">
        <v>2.0</v>
      </c>
      <c r="B25" s="58" t="s">
        <v>24</v>
      </c>
      <c r="C25" s="59"/>
      <c r="G25" s="60"/>
      <c r="H25" s="27"/>
      <c r="I25" s="27"/>
      <c r="J25" s="27"/>
      <c r="K25" s="56"/>
      <c r="L25" s="57"/>
      <c r="M25" s="57"/>
      <c r="N25" s="5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51">
        <v>3.0</v>
      </c>
      <c r="B26" s="52" t="s">
        <v>25</v>
      </c>
      <c r="C26" s="61"/>
      <c r="D26" s="40"/>
      <c r="E26" s="40"/>
      <c r="F26" s="40"/>
      <c r="G26" s="62"/>
      <c r="H26" s="27"/>
      <c r="I26" s="27"/>
      <c r="J26" s="27"/>
      <c r="K26" s="56"/>
      <c r="L26" s="57"/>
      <c r="M26" s="57"/>
      <c r="N26" s="5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51">
        <v>4.0</v>
      </c>
      <c r="B27" s="52" t="s">
        <v>26</v>
      </c>
      <c r="C27" s="36"/>
      <c r="D27" s="37"/>
      <c r="E27" s="36"/>
      <c r="F27" s="63"/>
      <c r="G27" s="35"/>
      <c r="H27" s="27"/>
      <c r="I27" s="27"/>
      <c r="J27" s="27"/>
      <c r="K27" s="56"/>
      <c r="L27" s="57"/>
      <c r="M27" s="57"/>
      <c r="N27" s="5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64" t="s">
        <v>27</v>
      </c>
      <c r="B28" s="40"/>
      <c r="C28" s="65">
        <f>sum(C24:C27)</f>
        <v>0</v>
      </c>
      <c r="D28" s="66"/>
      <c r="E28" s="43">
        <f>sum(E24:E27)</f>
        <v>0</v>
      </c>
      <c r="F28" s="43">
        <f>SUM(F24:F27)</f>
        <v>0</v>
      </c>
      <c r="G28" s="45"/>
      <c r="H28" s="46"/>
      <c r="I28" s="46"/>
      <c r="J28" s="46"/>
      <c r="K28" s="47"/>
      <c r="L28" s="48"/>
      <c r="M28" s="48"/>
      <c r="N28" s="48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>
      <c r="A29" s="67" t="s">
        <v>28</v>
      </c>
      <c r="B29" s="40"/>
      <c r="C29" s="68">
        <f>C19+C28</f>
        <v>24000000</v>
      </c>
      <c r="D29" s="69"/>
      <c r="E29" s="70">
        <f>E28+E19</f>
        <v>5750000</v>
      </c>
      <c r="F29" s="71">
        <f>F19+F28</f>
        <v>18250000</v>
      </c>
      <c r="G29" s="72"/>
      <c r="H29" s="46"/>
      <c r="I29" s="46"/>
      <c r="J29" s="46"/>
      <c r="K29" s="47"/>
      <c r="L29" s="48"/>
      <c r="M29" s="48"/>
      <c r="N29" s="48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>
      <c r="A30" s="49"/>
      <c r="B30" s="73"/>
      <c r="E30" s="3"/>
      <c r="F30" s="74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5"/>
      <c r="B31" s="9"/>
      <c r="C31" s="10"/>
      <c r="D31" s="10"/>
      <c r="E31" s="76"/>
      <c r="F31" s="77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8" t="s">
        <v>29</v>
      </c>
      <c r="G32" s="79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8" t="s">
        <v>30</v>
      </c>
      <c r="G33" s="79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8" t="s">
        <v>31</v>
      </c>
      <c r="G34" s="79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0" t="s">
        <v>32</v>
      </c>
      <c r="B35" s="10"/>
      <c r="C35" s="10"/>
      <c r="D35" s="10"/>
      <c r="E35" s="10"/>
      <c r="F35" s="10"/>
      <c r="G35" s="81"/>
      <c r="H35" s="8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83" t="s">
        <v>33</v>
      </c>
      <c r="G36" s="84">
        <v>45352.0</v>
      </c>
      <c r="H36" s="85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86"/>
      <c r="C37" s="3"/>
      <c r="D37" s="4"/>
      <c r="E37" s="3"/>
      <c r="F37" s="87" t="s">
        <v>34</v>
      </c>
      <c r="H37" s="86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88" t="s">
        <v>35</v>
      </c>
      <c r="D38" s="4"/>
      <c r="E38" s="3"/>
      <c r="F38" s="87" t="s">
        <v>36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82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4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6"/>
      <c r="C42" s="3"/>
      <c r="D42" s="4"/>
      <c r="E42" s="3"/>
      <c r="F42" s="3"/>
      <c r="G42" s="86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9" t="s">
        <v>37</v>
      </c>
      <c r="C43" s="10"/>
      <c r="D43" s="4"/>
      <c r="E43" s="3"/>
      <c r="F43" s="90" t="s">
        <v>38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91" t="s">
        <v>39</v>
      </c>
      <c r="D44" s="4"/>
      <c r="E44" s="3"/>
      <c r="F44" s="92" t="s">
        <v>40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74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3"/>
      <c r="D46" s="4"/>
      <c r="E46" s="7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19:B19"/>
    <mergeCell ref="C24:G26"/>
    <mergeCell ref="A28:B28"/>
    <mergeCell ref="A29:B29"/>
    <mergeCell ref="B30:D30"/>
    <mergeCell ref="F30:G30"/>
    <mergeCell ref="F31:G31"/>
    <mergeCell ref="B31:D31"/>
    <mergeCell ref="A32:G32"/>
    <mergeCell ref="A33:G33"/>
    <mergeCell ref="A34:G34"/>
    <mergeCell ref="A35:G35"/>
    <mergeCell ref="F37:G37"/>
    <mergeCell ref="B38:C38"/>
    <mergeCell ref="B46:C46"/>
    <mergeCell ref="E46:G46"/>
    <mergeCell ref="F38:G38"/>
    <mergeCell ref="F41:G41"/>
    <mergeCell ref="B43:C43"/>
    <mergeCell ref="F43:G43"/>
    <mergeCell ref="B44:C44"/>
    <mergeCell ref="F44:G44"/>
    <mergeCell ref="E45:F45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