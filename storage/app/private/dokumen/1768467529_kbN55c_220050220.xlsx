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qi1Mbuo20FGX1xy5DMWux2QhaKR6cA3XF3uj/Sga3xI="/>
    </ext>
  </extLst>
</workbook>
</file>

<file path=xl/sharedStrings.xml><?xml version="1.0" encoding="utf-8"?>
<sst xmlns="http://schemas.openxmlformats.org/spreadsheetml/2006/main" count="49" uniqueCount="40">
  <si>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</si>
  <si>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</si>
  <si>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</si>
  <si>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220050220</t>
  </si>
  <si>
    <t>Nama     : Wardah Habibah</t>
  </si>
  <si>
    <t>Prodi      : S1- 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</si>
  <si>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</si>
  <si>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</si>
  <si>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</si>
  <si>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</si>
  <si>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</si>
  <si>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</si>
  <si>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</si>
  <si>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Genap 2023/2024</t>
  </si>
  <si>
    <t>Lunas</t>
  </si>
  <si>
    <t>Ganjil 2024/2025</t>
  </si>
  <si>
    <t>Genap 2024/2025</t>
  </si>
  <si>
    <t xml:space="preserve">Lunas 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</si>
  <si>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</si>
  <si>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</si>
  <si>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</si>
  <si>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</si>
  <si>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 xml:space="preserve">Pindahan Reguler 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</si>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</sst>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5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6" fillId="3" fontId="9" numFmtId="0" xfId="0" applyAlignment="1" applyBorder="1" applyFill="1" applyFont="1">
      <alignment shrinkToFit="0" vertical="center" wrapText="1"/>
    </xf>
    <xf borderId="6" fillId="0" fontId="9" numFmtId="164" xfId="0" applyAlignment="1" applyBorder="1" applyFont="1" applyNumberFormat="1">
      <alignment horizontal="right" vertical="center"/>
    </xf>
    <xf borderId="4" fillId="0" fontId="9" numFmtId="165" xfId="0" applyAlignment="1" applyBorder="1" applyFont="1" applyNumberFormat="1">
      <alignment horizontal="right" readingOrder="0" vertical="center"/>
    </xf>
    <xf borderId="4" fillId="0" fontId="9" numFmtId="164" xfId="0" applyAlignment="1" applyBorder="1" applyFont="1" applyNumberFormat="1">
      <alignment horizontal="right" readingOrder="0" vertical="center"/>
    </xf>
    <xf borderId="6" fillId="0" fontId="9" numFmtId="164" xfId="0" applyAlignment="1" applyBorder="1" applyFont="1" applyNumberFormat="1">
      <alignment horizontal="right" readingOrder="0" vertical="center"/>
    </xf>
    <xf borderId="6" fillId="0" fontId="9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vertical="center"/>
    </xf>
    <xf borderId="3" fillId="0" fontId="6" numFmtId="0" xfId="0" applyBorder="1" applyFont="1"/>
    <xf borderId="4" fillId="0" fontId="6" numFmtId="0" xfId="0" applyBorder="1" applyFont="1"/>
    <xf borderId="4" fillId="0" fontId="9" numFmtId="165" xfId="0" applyAlignment="1" applyBorder="1" applyFont="1" applyNumberFormat="1">
      <alignment readingOrder="0" vertical="center"/>
    </xf>
    <xf borderId="4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readingOrder="0" vertical="center"/>
    </xf>
    <xf borderId="6" fillId="0" fontId="9" numFmtId="164" xfId="0" applyAlignment="1" applyBorder="1" applyFont="1" applyNumberFormat="1">
      <alignment readingOrder="0" vertical="center"/>
    </xf>
    <xf borderId="6" fillId="0" fontId="9" numFmtId="164" xfId="0" applyAlignment="1" applyBorder="1" applyFont="1" applyNumberFormat="1">
      <alignment vertical="center"/>
    </xf>
    <xf borderId="6" fillId="0" fontId="9" numFmtId="0" xfId="0" applyAlignment="1" applyBorder="1" applyFont="1">
      <alignment readingOrder="0" vertical="center"/>
    </xf>
    <xf borderId="5" fillId="0" fontId="6" numFmtId="0" xfId="0" applyBorder="1" applyFont="1"/>
    <xf borderId="6" fillId="0" fontId="6" numFmtId="0" xfId="0" applyBorder="1" applyFont="1"/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vertical="center"/>
    </xf>
    <xf borderId="4" fillId="0" fontId="9" numFmtId="164" xfId="0" applyAlignment="1" applyBorder="1" applyFont="1" applyNumberFormat="1">
      <alignment vertical="center"/>
    </xf>
    <xf borderId="4" fillId="0" fontId="9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7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0" fillId="3" fontId="2" numFmtId="164" xfId="0" applyAlignment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8" fillId="2" fontId="10" numFmtId="0" xfId="0" applyAlignment="1" applyBorder="1" applyFont="1">
      <alignment horizontal="center" vertical="center"/>
    </xf>
    <xf borderId="9" fillId="0" fontId="6" numFmtId="0" xfId="0" applyBorder="1" applyFont="1"/>
    <xf borderId="10" fillId="2" fontId="10" numFmtId="164" xfId="0" applyAlignment="1" applyBorder="1" applyFont="1" applyNumberFormat="1">
      <alignment horizontal="center" vertical="center"/>
    </xf>
    <xf borderId="10" fillId="2" fontId="10" numFmtId="0" xfId="0" applyAlignment="1" applyBorder="1" applyFont="1">
      <alignment horizontal="center" vertical="center"/>
    </xf>
    <xf borderId="10" fillId="2" fontId="10" numFmtId="0" xfId="0" applyAlignment="1" applyBorder="1" applyFont="1">
      <alignment vertical="center"/>
    </xf>
    <xf borderId="8" fillId="4" fontId="10" numFmtId="0" xfId="0" applyAlignment="1" applyBorder="1" applyFill="1" applyFont="1">
      <alignment horizontal="center" vertical="center"/>
    </xf>
    <xf borderId="10" fillId="4" fontId="10" numFmtId="164" xfId="0" applyAlignment="1" applyBorder="1" applyFont="1" applyNumberFormat="1">
      <alignment horizontal="center" vertical="center"/>
    </xf>
    <xf borderId="10" fillId="4" fontId="10" numFmtId="0" xfId="0" applyAlignment="1" applyBorder="1" applyFont="1">
      <alignment horizontal="center" vertical="center"/>
    </xf>
    <xf borderId="10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1" fillId="0" fontId="9" numFmtId="0" xfId="0" applyAlignment="1" applyBorder="1" applyFont="1">
      <alignment vertical="center"/>
    </xf>
    <xf borderId="12" fillId="0" fontId="6" numFmtId="0" xfId="0" applyBorder="1" applyFont="1"/>
    <xf borderId="13" fillId="0" fontId="9" numFmtId="165" xfId="0" applyAlignment="1" applyBorder="1" applyFont="1" applyNumberFormat="1">
      <alignment vertical="center"/>
    </xf>
    <xf borderId="14" fillId="0" fontId="6" numFmtId="0" xfId="0" applyBorder="1" applyFont="1"/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>
        <v>45334.0</v>
      </c>
      <c r="E14" s="24">
        <v>4000000.0</v>
      </c>
      <c r="F14" s="25">
        <v>0.0</v>
      </c>
      <c r="G14" s="26" t="s">
        <v>14</v>
      </c>
      <c r="H14" s="27"/>
      <c r="I14" s="28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9"/>
      <c r="B15" s="30"/>
      <c r="C15" s="30"/>
      <c r="D15" s="31">
        <v>45335.0</v>
      </c>
      <c r="E15" s="32">
        <v>2000000.0</v>
      </c>
      <c r="F15" s="30"/>
      <c r="G15" s="30"/>
      <c r="H15" s="27"/>
      <c r="I15" s="28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3">
        <v>2.0</v>
      </c>
      <c r="B16" s="34" t="s">
        <v>15</v>
      </c>
      <c r="C16" s="35">
        <v>6000000.0</v>
      </c>
      <c r="D16" s="31">
        <v>45335.0</v>
      </c>
      <c r="E16" s="32">
        <v>1000000.0</v>
      </c>
      <c r="F16" s="36">
        <f>C16-E16-E17-E18-E19</f>
        <v>0</v>
      </c>
      <c r="G16" s="37" t="str">
        <f>if(C16&gt;=F16,"Lunas","Tunggakan")</f>
        <v>Lunas</v>
      </c>
      <c r="H16" s="27"/>
      <c r="I16" s="28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8"/>
      <c r="B17" s="39"/>
      <c r="C17" s="39"/>
      <c r="D17" s="31">
        <v>45523.0</v>
      </c>
      <c r="E17" s="32">
        <v>2000000.0</v>
      </c>
      <c r="F17" s="39"/>
      <c r="G17" s="39"/>
      <c r="H17" s="27"/>
      <c r="I17" s="28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8"/>
      <c r="B18" s="39"/>
      <c r="C18" s="39"/>
      <c r="D18" s="31">
        <v>45604.0</v>
      </c>
      <c r="E18" s="32">
        <v>1500000.0</v>
      </c>
      <c r="F18" s="39"/>
      <c r="G18" s="39"/>
      <c r="H18" s="27"/>
      <c r="I18" s="28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9"/>
      <c r="B19" s="30"/>
      <c r="C19" s="30"/>
      <c r="D19" s="31">
        <v>45640.0</v>
      </c>
      <c r="E19" s="32">
        <v>1500000.0</v>
      </c>
      <c r="F19" s="30"/>
      <c r="G19" s="30"/>
      <c r="H19" s="27"/>
      <c r="I19" s="28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40">
        <v>3.0</v>
      </c>
      <c r="B20" s="41" t="s">
        <v>16</v>
      </c>
      <c r="C20" s="32">
        <v>6000000.0</v>
      </c>
      <c r="D20" s="31">
        <v>45698.0</v>
      </c>
      <c r="E20" s="32">
        <v>3000000.0</v>
      </c>
      <c r="F20" s="42">
        <f>C20-E20-E21</f>
        <v>0</v>
      </c>
      <c r="G20" s="43" t="s">
        <v>17</v>
      </c>
      <c r="H20" s="27"/>
      <c r="I20" s="28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44"/>
      <c r="B21" s="45"/>
      <c r="C21" s="42"/>
      <c r="D21" s="31">
        <v>45757.0</v>
      </c>
      <c r="E21" s="32">
        <v>3000000.0</v>
      </c>
      <c r="F21" s="42"/>
      <c r="G21" s="46"/>
      <c r="H21" s="27"/>
      <c r="I21" s="28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40">
        <v>4.0</v>
      </c>
      <c r="B22" s="41" t="s">
        <v>18</v>
      </c>
      <c r="C22" s="32">
        <v>6000000.0</v>
      </c>
      <c r="D22" s="31">
        <v>45885.0</v>
      </c>
      <c r="E22" s="32">
        <v>3000000.0</v>
      </c>
      <c r="F22" s="42">
        <f>C22-E22-E23</f>
        <v>0</v>
      </c>
      <c r="G22" s="43" t="s">
        <v>17</v>
      </c>
      <c r="H22" s="27"/>
      <c r="I22" s="28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44"/>
      <c r="B23" s="45"/>
      <c r="C23" s="42"/>
      <c r="D23" s="31">
        <v>46003.0</v>
      </c>
      <c r="E23" s="32">
        <v>3000000.0</v>
      </c>
      <c r="F23" s="42"/>
      <c r="G23" s="46"/>
      <c r="H23" s="27"/>
      <c r="I23" s="28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47" t="s">
        <v>19</v>
      </c>
      <c r="B24" s="48"/>
      <c r="C24" s="49">
        <f>sum(C14:C23)</f>
        <v>24000000</v>
      </c>
      <c r="D24" s="50"/>
      <c r="E24" s="50">
        <f>sum(E14:E23)</f>
        <v>24000000</v>
      </c>
      <c r="F24" s="50">
        <f>SUM(F14:F20)</f>
        <v>0</v>
      </c>
      <c r="G24" s="51"/>
      <c r="H24" s="52"/>
      <c r="I24" s="52"/>
      <c r="J24" s="52"/>
      <c r="K24" s="53"/>
      <c r="L24" s="54"/>
      <c r="M24" s="54"/>
      <c r="N24" s="54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5"/>
      <c r="B25" s="55"/>
      <c r="C25" s="3"/>
      <c r="D25" s="4"/>
      <c r="E25" s="3"/>
      <c r="F25" s="3"/>
      <c r="G25" s="2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6" t="s">
        <v>20</v>
      </c>
      <c r="B26" s="2"/>
      <c r="C26" s="3"/>
      <c r="D26" s="4"/>
      <c r="E26" s="3"/>
      <c r="F26" s="3"/>
      <c r="G26" s="2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/>
      <c r="B27" s="13"/>
      <c r="C27" s="14"/>
      <c r="D27" s="15"/>
      <c r="E27" s="14"/>
      <c r="F27" s="14"/>
      <c r="G27" s="13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6" t="s">
        <v>7</v>
      </c>
      <c r="B28" s="17" t="s">
        <v>8</v>
      </c>
      <c r="C28" s="18" t="s">
        <v>9</v>
      </c>
      <c r="D28" s="19" t="s">
        <v>10</v>
      </c>
      <c r="E28" s="18" t="s">
        <v>11</v>
      </c>
      <c r="F28" s="18" t="s">
        <v>12</v>
      </c>
      <c r="G28" s="17" t="s">
        <v>8</v>
      </c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7">
        <v>1.0</v>
      </c>
      <c r="B29" s="58" t="s">
        <v>21</v>
      </c>
      <c r="C29" s="59" t="s">
        <v>22</v>
      </c>
      <c r="G29" s="39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7">
        <v>2.0</v>
      </c>
      <c r="B30" s="45" t="s">
        <v>23</v>
      </c>
      <c r="G30" s="39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7">
        <v>3.0</v>
      </c>
      <c r="B31" s="58" t="s">
        <v>24</v>
      </c>
      <c r="C31" s="48"/>
      <c r="D31" s="48"/>
      <c r="E31" s="48"/>
      <c r="F31" s="48"/>
      <c r="G31" s="3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7">
        <v>4.0</v>
      </c>
      <c r="B32" s="58" t="s">
        <v>25</v>
      </c>
      <c r="C32" s="60"/>
      <c r="D32" s="61"/>
      <c r="E32" s="60"/>
      <c r="F32" s="62"/>
      <c r="G32" s="63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4" t="s">
        <v>26</v>
      </c>
      <c r="B33" s="65"/>
      <c r="C33" s="66">
        <f>SUM(C29:C32)</f>
        <v>0</v>
      </c>
      <c r="D33" s="67"/>
      <c r="E33" s="66">
        <f>sum(E29:E32)</f>
        <v>0</v>
      </c>
      <c r="F33" s="66">
        <f>SUM(F29:F32)</f>
        <v>0</v>
      </c>
      <c r="G33" s="68"/>
      <c r="H33" s="52"/>
      <c r="I33" s="52"/>
      <c r="J33" s="52"/>
      <c r="K33" s="53"/>
      <c r="L33" s="54"/>
      <c r="M33" s="54"/>
      <c r="N33" s="54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69" t="s">
        <v>27</v>
      </c>
      <c r="B34" s="65"/>
      <c r="C34" s="70">
        <f>C24+C33</f>
        <v>24000000</v>
      </c>
      <c r="D34" s="71"/>
      <c r="E34" s="70">
        <f>E33+E24</f>
        <v>24000000</v>
      </c>
      <c r="F34" s="70">
        <f>F24+F33</f>
        <v>0</v>
      </c>
      <c r="G34" s="72"/>
      <c r="H34" s="52"/>
      <c r="I34" s="52"/>
      <c r="J34" s="52"/>
      <c r="K34" s="53"/>
      <c r="L34" s="54"/>
      <c r="M34" s="54"/>
      <c r="N34" s="54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5"/>
      <c r="B35" s="73"/>
      <c r="E35" s="3"/>
      <c r="F35" s="73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4"/>
      <c r="B36" s="9"/>
      <c r="C36" s="10"/>
      <c r="D36" s="10"/>
      <c r="E36" s="75"/>
      <c r="F36" s="9"/>
      <c r="G36" s="10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6" t="s">
        <v>28</v>
      </c>
      <c r="G37" s="77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6" t="s">
        <v>29</v>
      </c>
      <c r="G38" s="77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6" t="s">
        <v>30</v>
      </c>
      <c r="G39" s="77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8" t="s">
        <v>31</v>
      </c>
      <c r="B40" s="10"/>
      <c r="C40" s="10"/>
      <c r="D40" s="10"/>
      <c r="E40" s="10"/>
      <c r="F40" s="10"/>
      <c r="G40" s="79"/>
      <c r="H40" s="80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7.5" customHeight="1">
      <c r="A41" s="2"/>
      <c r="B41" s="2"/>
      <c r="C41" s="3"/>
      <c r="D41" s="4"/>
      <c r="E41" s="3"/>
      <c r="F41" s="81" t="s">
        <v>32</v>
      </c>
      <c r="G41" s="82">
        <v>45698.0</v>
      </c>
      <c r="H41" s="83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5.25" customHeight="1">
      <c r="A42" s="2"/>
      <c r="B42" s="3"/>
      <c r="C42" s="3"/>
      <c r="D42" s="4"/>
      <c r="E42" s="3"/>
      <c r="F42" s="84" t="s">
        <v>33</v>
      </c>
      <c r="H42" s="3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4" t="s">
        <v>34</v>
      </c>
      <c r="D43" s="4"/>
      <c r="E43" s="3"/>
      <c r="F43" s="84" t="s">
        <v>35</v>
      </c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3"/>
      <c r="F44" s="3"/>
      <c r="G44" s="8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3"/>
      <c r="F45" s="3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73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3"/>
      <c r="C47" s="3"/>
      <c r="D47" s="4"/>
      <c r="E47" s="3"/>
      <c r="F47" s="3"/>
      <c r="G47" s="3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85" t="s">
        <v>36</v>
      </c>
      <c r="C48" s="10"/>
      <c r="D48" s="4"/>
      <c r="E48" s="3"/>
      <c r="F48" s="86" t="s">
        <v>37</v>
      </c>
      <c r="G48" s="10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87" t="s">
        <v>38</v>
      </c>
      <c r="D49" s="4"/>
      <c r="E49" s="3"/>
      <c r="F49" s="88" t="s">
        <v>39</v>
      </c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7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73"/>
      <c r="D51" s="4"/>
      <c r="E51" s="73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5"/>
      <c r="L971" s="6"/>
      <c r="M971" s="6"/>
      <c r="N971" s="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5"/>
      <c r="L972" s="6"/>
      <c r="M972" s="6"/>
      <c r="N972" s="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5"/>
      <c r="L973" s="6"/>
      <c r="M973" s="6"/>
      <c r="N973" s="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4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4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3"/>
      <c r="D1006" s="4"/>
      <c r="E1006" s="3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3"/>
      <c r="D1007" s="4"/>
      <c r="E1007" s="3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40">
    <mergeCell ref="C2:G2"/>
    <mergeCell ref="C4:G4"/>
    <mergeCell ref="A5:G5"/>
    <mergeCell ref="A7:H7"/>
    <mergeCell ref="A8:H8"/>
    <mergeCell ref="A9:H9"/>
    <mergeCell ref="A10:G10"/>
    <mergeCell ref="F14:F15"/>
    <mergeCell ref="F16:F19"/>
    <mergeCell ref="B16:B19"/>
    <mergeCell ref="A24:B24"/>
    <mergeCell ref="A14:A15"/>
    <mergeCell ref="B14:B15"/>
    <mergeCell ref="C14:C15"/>
    <mergeCell ref="G14:G15"/>
    <mergeCell ref="A16:A19"/>
    <mergeCell ref="C16:C19"/>
    <mergeCell ref="G16:G19"/>
    <mergeCell ref="C29:G31"/>
    <mergeCell ref="A33:B33"/>
    <mergeCell ref="A34:B34"/>
    <mergeCell ref="B35:D35"/>
    <mergeCell ref="F35:G35"/>
    <mergeCell ref="B36:D36"/>
    <mergeCell ref="F36:G36"/>
    <mergeCell ref="B43:C43"/>
    <mergeCell ref="B48:C48"/>
    <mergeCell ref="B49:C49"/>
    <mergeCell ref="B51:C51"/>
    <mergeCell ref="F48:G48"/>
    <mergeCell ref="F49:G49"/>
    <mergeCell ref="E50:F50"/>
    <mergeCell ref="E51:G51"/>
    <mergeCell ref="A37:G37"/>
    <mergeCell ref="A38:G38"/>
    <mergeCell ref="A39:G39"/>
    <mergeCell ref="A40:G40"/>
    <mergeCell ref="F42:G42"/>
    <mergeCell ref="F43:G43"/>
    <mergeCell ref="F46:G46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