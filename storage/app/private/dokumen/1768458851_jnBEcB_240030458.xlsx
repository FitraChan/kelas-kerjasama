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MMcVJnJ7OtKf4TPaaMRB8j+offBJ3GX3slKPehpY1a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======
ID#AAABW2aZe2U
MBC Consulting    (2024-10-08 01:26:29)
menggajukan keringanan ke pak rektor</t>
      </text>
    </comment>
    <comment authorId="0" ref="C26">
      <text>
        <t xml:space="preserve">======
ID#AAABWax2S1M
MBC Consulting    (2024-10-03 05:52:12)
menggajukan keringanan ke pak rektor</t>
      </text>
    </comment>
    <comment authorId="0" ref="C25">
      <text>
        <t xml:space="preserve">======
ID#AAABWax2S1I
MBC Consulting    (2024-10-03 05:52:05)
menggajukan keringanan ke pak rektor</t>
      </text>
    </comment>
  </commentList>
  <extLst>
    <ext uri="GoogleSheetsCustomDataVersion2">
      <go:sheetsCustomData xmlns:go="http://customooxmlschemas.google.com/" r:id="rId1" roundtripDataSignature="AMtx7mjvctZq5g5/zoR1c41MYAhHZpW9+w=="/>
    </ext>
  </extLst>
</comments>
</file>

<file path=xl/sharedStrings.xml><?xml version="1.0" encoding="utf-8"?>
<sst xmlns="http://schemas.openxmlformats.org/spreadsheetml/2006/main" count="47" uniqueCount="39">
  <si>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</si>
  <si>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</si>
  <si>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</si>
  <si>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240030458</t>
  </si>
  <si>
    <t>Nama     : Arie Akbar Reza Wicaksono</t>
  </si>
  <si>
    <t>Prodi      : S1- SISTEM INFORMASI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</si>
  <si>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</si>
  <si>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</si>
  <si>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</si>
  <si>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</si>
  <si>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</si>
  <si>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</si>
  <si>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</si>
  <si>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Semester Ganjil 2024/2025</t>
  </si>
  <si>
    <t>Semester Genap 2024/2025</t>
  </si>
  <si>
    <t xml:space="preserve">Lunas </t>
  </si>
  <si>
    <t>Semester Ganjil 2025/2026</t>
  </si>
  <si>
    <t xml:space="preserve">Tunggakan 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</si>
  <si>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</si>
  <si>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</si>
  <si>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</si>
  <si>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Lunas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</si>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</sst>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6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b/>
      <sz val="29.0"/>
      <color theme="1"/>
      <name val="Times New Roman"/>
    </font>
    <font>
      <sz val="16.0"/>
      <color theme="1"/>
      <name val="Times New Roman"/>
    </font>
    <font>
      <color theme="1"/>
      <name val="Calibri"/>
    </font>
    <font/>
    <font>
      <sz val="15.0"/>
      <color rgb="FF000000"/>
      <name val="Times New Roman"/>
    </font>
    <font>
      <b/>
      <sz val="15.0"/>
      <color theme="1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b/>
      <sz val="14.0"/>
      <color theme="1"/>
      <name val="Calibri"/>
    </font>
    <font>
      <sz val="16.0"/>
      <color rgb="FF000000"/>
      <name val="Times New Roman"/>
    </font>
    <font>
      <sz val="12.0"/>
      <color theme="1"/>
      <name val="Times New Roman"/>
    </font>
    <font>
      <b/>
      <sz val="12.0"/>
      <color rgb="FF1F1F1F"/>
      <name val="Times New Roman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2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1" fillId="0" fontId="5" numFmtId="0" xfId="0" applyBorder="1" applyFont="1"/>
    <xf borderId="1" fillId="0" fontId="6" numFmtId="0" xfId="0" applyBorder="1" applyFont="1"/>
    <xf borderId="0" fillId="0" fontId="4" numFmtId="0" xfId="0" applyAlignment="1" applyFont="1">
      <alignment readingOrder="0" vertical="bottom"/>
    </xf>
    <xf borderId="2" fillId="0" fontId="7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5" fillId="0" fontId="9" numFmtId="0" xfId="0" applyAlignment="1" applyBorder="1" applyFont="1">
      <alignment horizontal="right" vertical="bottom"/>
    </xf>
    <xf borderId="5" fillId="3" fontId="2" numFmtId="0" xfId="0" applyAlignment="1" applyBorder="1" applyFill="1" applyFont="1">
      <alignment shrinkToFit="0" vertical="bottom" wrapText="1"/>
    </xf>
    <xf borderId="5" fillId="0" fontId="2" numFmtId="164" xfId="0" applyAlignment="1" applyBorder="1" applyFont="1" applyNumberFormat="1">
      <alignment readingOrder="0" vertical="bottom"/>
    </xf>
    <xf borderId="5" fillId="0" fontId="2" numFmtId="165" xfId="0" applyAlignment="1" applyBorder="1" applyFont="1" applyNumberFormat="1">
      <alignment readingOrder="0" vertical="bottom"/>
    </xf>
    <xf borderId="5" fillId="0" fontId="2" numFmtId="164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5" fillId="0" fontId="9" numFmtId="0" xfId="0" applyAlignment="1" applyBorder="1" applyFont="1">
      <alignment horizontal="right" readingOrder="0" vertical="bottom"/>
    </xf>
    <xf borderId="5" fillId="3" fontId="2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vertical="bottom"/>
    </xf>
    <xf borderId="0" fillId="0" fontId="2" numFmtId="167" xfId="0" applyAlignment="1" applyFont="1" applyNumberFormat="1">
      <alignment vertical="bottom"/>
    </xf>
    <xf borderId="3" fillId="0" fontId="2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vertical="bottom"/>
    </xf>
    <xf borderId="4" fillId="0" fontId="2" numFmtId="165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6" fillId="2" fontId="10" numFmtId="164" xfId="0" applyAlignment="1" applyBorder="1" applyFont="1" applyNumberFormat="1">
      <alignment horizontal="center" vertical="bottom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bottom"/>
    </xf>
    <xf borderId="4" fillId="2" fontId="10" numFmtId="164" xfId="0" applyAlignment="1" applyBorder="1" applyFont="1" applyNumberFormat="1">
      <alignment horizontal="center" vertical="bottom"/>
    </xf>
    <xf borderId="4" fillId="2" fontId="11" numFmtId="164" xfId="0" applyAlignment="1" applyBorder="1" applyFont="1" applyNumberFormat="1">
      <alignment horizontal="center" vertical="bottom"/>
    </xf>
    <xf borderId="4" fillId="2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12" numFmtId="0" xfId="0" applyAlignment="1" applyFont="1">
      <alignment shrinkToFit="0" vertical="bottom" wrapText="0"/>
    </xf>
    <xf borderId="3" fillId="2" fontId="8" numFmtId="0" xfId="0" applyAlignment="1" applyBorder="1" applyFont="1">
      <alignment horizontal="center" shrinkToFit="0" wrapText="1"/>
    </xf>
    <xf borderId="4" fillId="2" fontId="8" numFmtId="0" xfId="0" applyAlignment="1" applyBorder="1" applyFont="1">
      <alignment horizontal="center" shrinkToFit="0" wrapText="1"/>
    </xf>
    <xf borderId="4" fillId="2" fontId="8" numFmtId="164" xfId="0" applyAlignment="1" applyBorder="1" applyFont="1" applyNumberFormat="1">
      <alignment horizontal="center" shrinkToFit="0" wrapText="1"/>
    </xf>
    <xf borderId="4" fillId="2" fontId="8" numFmtId="165" xfId="0" applyAlignment="1" applyBorder="1" applyFont="1" applyNumberFormat="1">
      <alignment horizontal="center" shrinkToFit="0" wrapText="1"/>
    </xf>
    <xf borderId="0" fillId="0" fontId="2" numFmtId="0" xfId="0" applyFont="1"/>
    <xf borderId="0" fillId="0" fontId="2" numFmtId="166" xfId="0" applyFont="1" applyNumberFormat="1"/>
    <xf borderId="0" fillId="0" fontId="2" numFmtId="3" xfId="0" applyFont="1" applyNumberFormat="1"/>
    <xf borderId="3" fillId="3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shrinkToFit="0" vertical="center" wrapText="1"/>
    </xf>
    <xf borderId="5" fillId="3" fontId="2" numFmtId="164" xfId="0" applyAlignment="1" applyBorder="1" applyFont="1" applyNumberFormat="1">
      <alignment horizontal="center" vertical="center"/>
    </xf>
    <xf borderId="5" fillId="3" fontId="2" numFmtId="165" xfId="0" applyAlignment="1" applyBorder="1" applyFont="1" applyNumberFormat="1">
      <alignment horizontal="center" readingOrder="0" shrinkToFit="0" vertical="center" wrapText="1"/>
    </xf>
    <xf borderId="5" fillId="3" fontId="2" numFmtId="0" xfId="0" applyAlignment="1" applyBorder="1" applyFont="1">
      <alignment horizontal="center"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4" fillId="3" fontId="13" numFmtId="0" xfId="0" applyAlignment="1" applyBorder="1" applyFont="1">
      <alignment vertical="center"/>
    </xf>
    <xf borderId="5" fillId="3" fontId="2" numFmtId="164" xfId="0" applyAlignment="1" applyBorder="1" applyFont="1" applyNumberFormat="1">
      <alignment horizontal="center" readingOrder="0" vertical="center"/>
    </xf>
    <xf borderId="3" fillId="3" fontId="13" numFmtId="0" xfId="0" applyAlignment="1" applyBorder="1" applyFont="1">
      <alignment horizontal="center" vertical="bottom"/>
    </xf>
    <xf borderId="4" fillId="3" fontId="13" numFmtId="0" xfId="0" applyAlignment="1" applyBorder="1" applyFont="1">
      <alignment shrinkToFit="0" vertical="bottom" wrapText="1"/>
    </xf>
    <xf borderId="5" fillId="3" fontId="2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shrinkToFit="0" vertical="bottom" wrapText="1"/>
    </xf>
    <xf borderId="4" fillId="3" fontId="2" numFmtId="164" xfId="0" applyAlignment="1" applyBorder="1" applyFont="1" applyNumberFormat="1">
      <alignment vertical="bottom"/>
    </xf>
    <xf borderId="6" fillId="2" fontId="10" numFmtId="0" xfId="0" applyAlignment="1" applyBorder="1" applyFont="1">
      <alignment horizontal="center" vertical="bottom"/>
    </xf>
    <xf borderId="4" fillId="2" fontId="10" numFmtId="0" xfId="0" applyAlignment="1" applyBorder="1" applyFont="1">
      <alignment horizontal="center" vertical="bottom"/>
    </xf>
    <xf borderId="6" fillId="4" fontId="10" numFmtId="0" xfId="0" applyAlignment="1" applyBorder="1" applyFill="1" applyFont="1">
      <alignment horizontal="center" vertical="bottom"/>
    </xf>
    <xf borderId="2" fillId="4" fontId="10" numFmtId="164" xfId="0" applyAlignment="1" applyBorder="1" applyFont="1" applyNumberFormat="1">
      <alignment horizontal="center" vertical="bottom"/>
    </xf>
    <xf borderId="4" fillId="4" fontId="10" numFmtId="0" xfId="0" applyAlignment="1" applyBorder="1" applyFont="1">
      <alignment horizontal="center" vertical="bottom"/>
    </xf>
    <xf borderId="4" fillId="4" fontId="10" numFmtId="164" xfId="0" applyAlignment="1" applyBorder="1" applyFont="1" applyNumberFormat="1">
      <alignment horizontal="center" vertical="bottom"/>
    </xf>
    <xf borderId="7" fillId="4" fontId="11" numFmtId="164" xfId="0" applyAlignment="1" applyBorder="1" applyFont="1" applyNumberFormat="1">
      <alignment horizontal="center" vertical="bottom"/>
    </xf>
    <xf borderId="7" fillId="4" fontId="11" numFmtId="0" xfId="0" applyAlignment="1" applyBorder="1" applyFont="1">
      <alignment vertical="bottom"/>
    </xf>
    <xf borderId="0" fillId="0" fontId="5" numFmtId="164" xfId="0" applyFont="1" applyNumberFormat="1"/>
    <xf borderId="1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5" numFmtId="164" xfId="0" applyBorder="1" applyFont="1" applyNumberFormat="1"/>
    <xf borderId="8" fillId="0" fontId="13" numFmtId="0" xfId="0" applyAlignment="1" applyBorder="1" applyFont="1">
      <alignment vertical="bottom"/>
    </xf>
    <xf borderId="9" fillId="0" fontId="6" numFmtId="0" xfId="0" applyBorder="1" applyFont="1"/>
    <xf borderId="10" fillId="0" fontId="13" numFmtId="165" xfId="0" applyAlignment="1" applyBorder="1" applyFont="1" applyNumberFormat="1">
      <alignment vertical="bottom"/>
    </xf>
    <xf borderId="11" fillId="0" fontId="6" numFmtId="0" xfId="0" applyBorder="1" applyFont="1"/>
    <xf borderId="0" fillId="0" fontId="1" numFmtId="164" xfId="0" applyAlignment="1" applyFont="1" applyNumberFormat="1">
      <alignment horizontal="right" vertical="bottom"/>
    </xf>
    <xf borderId="0" fillId="3" fontId="14" numFmtId="165" xfId="0" applyAlignment="1" applyFont="1" applyNumberFormat="1">
      <alignment horizontal="left" readingOrder="0" vertical="bottom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15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>
        <v>1.0</v>
      </c>
      <c r="B14" s="22" t="s">
        <v>13</v>
      </c>
      <c r="C14" s="23">
        <v>1500000.0</v>
      </c>
      <c r="D14" s="24">
        <v>45572.0</v>
      </c>
      <c r="E14" s="23">
        <v>1500000.0</v>
      </c>
      <c r="F14" s="25">
        <f>C14-E14</f>
        <v>0</v>
      </c>
      <c r="G14" s="26" t="str">
        <f>if(E14&gt;=C14,"Lunas","Tunggakan")</f>
        <v>Lunas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27">
        <v>2.0</v>
      </c>
      <c r="B15" s="28" t="s">
        <v>14</v>
      </c>
      <c r="C15" s="23">
        <v>1500000.0</v>
      </c>
      <c r="D15" s="24">
        <v>45713.0</v>
      </c>
      <c r="E15" s="23">
        <v>1000000.0</v>
      </c>
      <c r="F15" s="25">
        <f>C15-E15-E16</f>
        <v>0</v>
      </c>
      <c r="G15" s="29" t="s">
        <v>15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29">
        <v>3.0</v>
      </c>
      <c r="B16" s="28" t="s">
        <v>16</v>
      </c>
      <c r="C16" s="23">
        <v>1500000.0</v>
      </c>
      <c r="D16" s="24">
        <v>45902.0</v>
      </c>
      <c r="E16" s="23">
        <v>500000.0</v>
      </c>
      <c r="F16" s="25">
        <f>C16-E17</f>
        <v>500000</v>
      </c>
      <c r="G16" s="2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26"/>
      <c r="B17" s="30"/>
      <c r="C17" s="25"/>
      <c r="D17" s="24">
        <v>45902.0</v>
      </c>
      <c r="E17" s="23">
        <v>1000000.0</v>
      </c>
      <c r="F17" s="25"/>
      <c r="G17" s="29" t="s">
        <v>17</v>
      </c>
      <c r="H17" s="2"/>
      <c r="I17" s="3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2"/>
      <c r="B18" s="33"/>
      <c r="C18" s="34"/>
      <c r="D18" s="35"/>
      <c r="E18" s="34"/>
      <c r="F18" s="34"/>
      <c r="G18" s="36"/>
      <c r="H18" s="2"/>
      <c r="I18" s="3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7" t="s">
        <v>18</v>
      </c>
      <c r="B19" s="38"/>
      <c r="C19" s="39">
        <f>sum(C14:C18)</f>
        <v>4500000</v>
      </c>
      <c r="D19" s="40"/>
      <c r="E19" s="40">
        <f t="shared" ref="E19:F19" si="1">SUM(E14:E18)</f>
        <v>4000000</v>
      </c>
      <c r="F19" s="41">
        <f t="shared" si="1"/>
        <v>500000</v>
      </c>
      <c r="G19" s="42"/>
      <c r="H19" s="43"/>
      <c r="I19" s="43"/>
      <c r="J19" s="43"/>
      <c r="K19" s="44"/>
      <c r="L19" s="45"/>
      <c r="M19" s="45"/>
      <c r="N19" s="45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6"/>
      <c r="B20" s="46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7" t="s">
        <v>19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13"/>
      <c r="C22" s="14"/>
      <c r="D22" s="15"/>
      <c r="E22" s="14"/>
      <c r="F22" s="14"/>
      <c r="G22" s="13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8" t="s">
        <v>7</v>
      </c>
      <c r="B23" s="49" t="s">
        <v>8</v>
      </c>
      <c r="C23" s="50" t="s">
        <v>9</v>
      </c>
      <c r="D23" s="51" t="s">
        <v>10</v>
      </c>
      <c r="E23" s="50" t="s">
        <v>11</v>
      </c>
      <c r="F23" s="50" t="s">
        <v>12</v>
      </c>
      <c r="G23" s="49" t="s">
        <v>8</v>
      </c>
      <c r="H23" s="52"/>
      <c r="I23" s="52"/>
      <c r="J23" s="52"/>
      <c r="K23" s="53"/>
      <c r="L23" s="54"/>
      <c r="M23" s="54"/>
      <c r="N23" s="54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39.0" customHeight="1">
      <c r="A24" s="55">
        <v>1.0</v>
      </c>
      <c r="B24" s="56" t="s">
        <v>20</v>
      </c>
      <c r="C24" s="57">
        <v>400000.0</v>
      </c>
      <c r="D24" s="58">
        <v>45568.0</v>
      </c>
      <c r="E24" s="57">
        <v>400000.0</v>
      </c>
      <c r="F24" s="57">
        <f t="shared" ref="F24:F26" si="2">C24-E24</f>
        <v>0</v>
      </c>
      <c r="G24" s="59" t="s">
        <v>21</v>
      </c>
      <c r="H24" s="20"/>
      <c r="I24" s="20"/>
      <c r="J24" s="20"/>
      <c r="K24" s="60"/>
      <c r="L24" s="61"/>
      <c r="M24" s="61"/>
      <c r="N24" s="61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9.0" customHeight="1">
      <c r="A25" s="55">
        <v>2.0</v>
      </c>
      <c r="B25" s="62" t="s">
        <v>22</v>
      </c>
      <c r="C25" s="63">
        <v>750000.0</v>
      </c>
      <c r="D25" s="58">
        <v>45568.0</v>
      </c>
      <c r="E25" s="63">
        <v>750000.0</v>
      </c>
      <c r="F25" s="57">
        <f t="shared" si="2"/>
        <v>0</v>
      </c>
      <c r="G25" s="57" t="str">
        <f t="shared" ref="G25:G26" si="3">if(E25&gt;=C25,"Lunas","Tunggakan")</f>
        <v>Lunas</v>
      </c>
      <c r="H25" s="20"/>
      <c r="I25" s="20"/>
      <c r="J25" s="20"/>
      <c r="K25" s="60"/>
      <c r="L25" s="61"/>
      <c r="M25" s="61"/>
      <c r="N25" s="61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64">
        <v>3.0</v>
      </c>
      <c r="B26" s="65" t="s">
        <v>23</v>
      </c>
      <c r="C26" s="63">
        <v>2250000.0</v>
      </c>
      <c r="D26" s="66">
        <v>45572.0</v>
      </c>
      <c r="E26" s="63">
        <v>2250000.0</v>
      </c>
      <c r="F26" s="57">
        <f t="shared" si="2"/>
        <v>0</v>
      </c>
      <c r="G26" s="57" t="str">
        <f t="shared" si="3"/>
        <v>Lunas</v>
      </c>
      <c r="H26" s="67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4">
        <v>4.0</v>
      </c>
      <c r="B27" s="65" t="s">
        <v>24</v>
      </c>
      <c r="C27" s="34"/>
      <c r="D27" s="35"/>
      <c r="E27" s="34"/>
      <c r="F27" s="68"/>
      <c r="G27" s="33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9" t="s">
        <v>25</v>
      </c>
      <c r="B28" s="38"/>
      <c r="C28" s="39">
        <f>sum(C23:C27)</f>
        <v>3400000</v>
      </c>
      <c r="D28" s="70"/>
      <c r="E28" s="40">
        <f>sum(E24:E27)</f>
        <v>3400000</v>
      </c>
      <c r="F28" s="40">
        <f>SUM(F24:F27)</f>
        <v>0</v>
      </c>
      <c r="G28" s="42"/>
      <c r="H28" s="43"/>
      <c r="I28" s="43"/>
      <c r="J28" s="43"/>
      <c r="K28" s="44"/>
      <c r="L28" s="45"/>
      <c r="M28" s="45"/>
      <c r="N28" s="45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71" t="s">
        <v>26</v>
      </c>
      <c r="B29" s="38"/>
      <c r="C29" s="72">
        <f>C19+C28</f>
        <v>7900000</v>
      </c>
      <c r="D29" s="73"/>
      <c r="E29" s="74">
        <f>E28+E19</f>
        <v>7400000</v>
      </c>
      <c r="F29" s="75">
        <f>F19+F28</f>
        <v>500000</v>
      </c>
      <c r="G29" s="76"/>
      <c r="H29" s="43"/>
      <c r="I29" s="43"/>
      <c r="J29" s="43"/>
      <c r="K29" s="44"/>
      <c r="L29" s="45"/>
      <c r="M29" s="45"/>
      <c r="N29" s="45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6"/>
      <c r="E30" s="3"/>
      <c r="F30" s="77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8"/>
      <c r="B31" s="9"/>
      <c r="C31" s="10"/>
      <c r="D31" s="10"/>
      <c r="E31" s="79"/>
      <c r="F31" s="80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1" t="s">
        <v>27</v>
      </c>
      <c r="G32" s="82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1" t="s">
        <v>28</v>
      </c>
      <c r="G33" s="82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1" t="s">
        <v>29</v>
      </c>
      <c r="G34" s="82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3" t="s">
        <v>30</v>
      </c>
      <c r="B35" s="10"/>
      <c r="C35" s="10"/>
      <c r="D35" s="10"/>
      <c r="E35" s="10"/>
      <c r="F35" s="10"/>
      <c r="G35" s="84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85" t="s">
        <v>31</v>
      </c>
      <c r="G36" s="86">
        <v>45572.0</v>
      </c>
      <c r="H36" s="87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88" t="s">
        <v>32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8" t="s">
        <v>33</v>
      </c>
      <c r="D38" s="4"/>
      <c r="E38" s="3"/>
      <c r="F38" s="88" t="s">
        <v>34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77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9" t="s">
        <v>35</v>
      </c>
      <c r="C43" s="10"/>
      <c r="D43" s="4"/>
      <c r="E43" s="3"/>
      <c r="F43" s="89" t="s">
        <v>36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0" t="s">
        <v>37</v>
      </c>
      <c r="D44" s="4"/>
      <c r="E44" s="3"/>
      <c r="F44" s="88" t="s">
        <v>38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77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D46" s="4"/>
      <c r="E46" s="77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B30:D30"/>
    <mergeCell ref="F30:G30"/>
    <mergeCell ref="B31:D31"/>
    <mergeCell ref="F31:G31"/>
    <mergeCell ref="A19:B19"/>
    <mergeCell ref="A28:B28"/>
    <mergeCell ref="A29:B29"/>
    <mergeCell ref="B38:C38"/>
    <mergeCell ref="B43:C43"/>
    <mergeCell ref="B44:C44"/>
    <mergeCell ref="B46:C46"/>
    <mergeCell ref="F43:G43"/>
    <mergeCell ref="F44:G44"/>
    <mergeCell ref="E45:F45"/>
    <mergeCell ref="E46:G46"/>
    <mergeCell ref="A32:G32"/>
    <mergeCell ref="A33:G33"/>
    <mergeCell ref="A34:G34"/>
    <mergeCell ref="A35:G35"/>
    <mergeCell ref="F37:G37"/>
    <mergeCell ref="F38:G38"/>
    <mergeCell ref="F41:G41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