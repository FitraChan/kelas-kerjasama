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i+RMnusUFsEes6FM0/QqfwMs+hr/CWwggzsLNW/ZS/k="/>
    </ext>
  </extLst>
</workbook>
</file>

<file path=xl/sharedStrings.xml><?xml version="1.0" encoding="utf-8"?>
<sst xmlns="http://schemas.openxmlformats.org/spreadsheetml/2006/main" count="47" uniqueCount="36">
  <si>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</si>
  <si>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</si>
  <si>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</si>
  <si>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230030644</t>
  </si>
  <si>
    <t>Nama     : Nia Astria Parhusip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</si>
  <si>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</si>
  <si>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</si>
  <si>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</si>
  <si>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</si>
  <si>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</si>
  <si>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</si>
  <si>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</si>
  <si>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</si>
  <si>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</si>
  <si>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Lunas</t>
  </si>
  <si>
    <t>Genap 2023/2024</t>
  </si>
  <si>
    <t>Ganjil 2024/2025</t>
  </si>
  <si>
    <t>Genap 2024/2025 (potongan  UKT 1.500.000)</t>
  </si>
  <si>
    <t xml:space="preserve">Lunas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</si>
  <si>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</si>
  <si>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</si>
  <si>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</si>
  <si>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</si>
  <si>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</si>
  <si>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</si>
  <si>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</si>
  <si>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</si>
  <si>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</si>
  <si>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</si>
  <si>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</si>
  <si>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</si>
  <si>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</si>
  <si>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</si>
  <si>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>PT. Mitra Bisnis CiptaKarya</t>
  </si>
  <si>
    <t xml:space="preserve">I Gst Ayu Alit 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</si>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</sst>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2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29.0"/>
      <color theme="1"/>
      <name val="Calibri"/>
      <scheme val="minor"/>
    </font>
    <font>
      <sz val="16.0"/>
      <color theme="1"/>
      <name val="Calibri"/>
      <scheme val="minor"/>
    </font>
    <font>
      <color theme="1"/>
      <name val="Calibri"/>
      <scheme val="minor"/>
    </font>
    <font/>
    <font>
      <sz val="15.0"/>
      <color rgb="FF000000"/>
      <name val="Calibri"/>
      <scheme val="minor"/>
    </font>
    <font>
      <b/>
      <sz val="15.0"/>
      <color theme="1"/>
      <name val="Calibri"/>
      <scheme val="minor"/>
    </font>
    <font>
      <b/>
      <sz val="16.0"/>
      <color theme="1"/>
      <name val="Calibri"/>
      <scheme val="minor"/>
    </font>
    <font>
      <sz val="16.0"/>
      <color rgb="FF000000"/>
      <name val="Calibri"/>
      <scheme val="minor"/>
    </font>
    <font>
      <sz val="12.0"/>
      <color theme="1"/>
      <name val="Calibri"/>
      <scheme val="minor"/>
    </font>
    <font>
      <b/>
      <sz val="12.0"/>
      <color rgb="FF1F1F1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0" numFmtId="0" xfId="0" applyAlignment="1" applyFont="1">
      <alignment vertical="center"/>
    </xf>
    <xf borderId="0" fillId="0" fontId="0" numFmtId="164" xfId="0" applyAlignment="1" applyFont="1" applyNumberFormat="1">
      <alignment vertical="center"/>
    </xf>
    <xf borderId="0" fillId="0" fontId="0" numFmtId="165" xfId="0" applyAlignment="1" applyFont="1" applyNumberFormat="1">
      <alignment vertical="center"/>
    </xf>
    <xf borderId="0" fillId="0" fontId="0" numFmtId="0" xfId="0" applyAlignment="1" applyFont="1">
      <alignment vertical="bottom"/>
    </xf>
    <xf borderId="0" fillId="0" fontId="0" numFmtId="166" xfId="0" applyAlignment="1" applyFont="1" applyNumberFormat="1">
      <alignment vertical="bottom"/>
    </xf>
    <xf borderId="0" fillId="0" fontId="0" numFmtId="3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0" fontId="5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2" fillId="0" fontId="6" numFmtId="0" xfId="0" applyAlignment="1" applyBorder="1" applyFont="1">
      <alignment shrinkToFit="0" vertical="center" wrapText="0"/>
    </xf>
    <xf borderId="2" fillId="0" fontId="0" numFmtId="0" xfId="0" applyAlignment="1" applyBorder="1" applyFont="1">
      <alignment vertical="center"/>
    </xf>
    <xf borderId="2" fillId="0" fontId="0" numFmtId="164" xfId="0" applyAlignment="1" applyBorder="1" applyFont="1" applyNumberFormat="1">
      <alignment vertical="center"/>
    </xf>
    <xf borderId="2" fillId="0" fontId="0" numFmtId="165" xfId="0" applyAlignment="1" applyBorder="1" applyFont="1" applyNumberFormat="1">
      <alignment vertical="center"/>
    </xf>
    <xf borderId="3" fillId="2" fontId="7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7" numFmtId="164" xfId="0" applyAlignment="1" applyBorder="1" applyFont="1" applyNumberFormat="1">
      <alignment horizontal="center" shrinkToFit="0" vertical="center" wrapText="1"/>
    </xf>
    <xf borderId="4" fillId="2" fontId="7" numFmtId="165" xfId="0" applyAlignment="1" applyBorder="1" applyFont="1" applyNumberFormat="1">
      <alignment horizontal="center" shrinkToFit="0" vertical="center" wrapText="1"/>
    </xf>
    <xf borderId="0" fillId="0" fontId="0" numFmtId="0" xfId="0" applyFont="1"/>
    <xf borderId="5" fillId="0" fontId="0" numFmtId="0" xfId="0" applyAlignment="1" applyBorder="1" applyFont="1">
      <alignment horizontal="center" vertical="center"/>
    </xf>
    <xf borderId="6" fillId="3" fontId="0" numFmtId="0" xfId="0" applyAlignment="1" applyBorder="1" applyFill="1" applyFont="1">
      <alignment horizontal="center" shrinkToFit="0" vertical="center" wrapText="1"/>
    </xf>
    <xf borderId="6" fillId="0" fontId="0" numFmtId="164" xfId="0" applyAlignment="1" applyBorder="1" applyFont="1" applyNumberFormat="1">
      <alignment horizontal="center" vertical="center"/>
    </xf>
    <xf borderId="4" fillId="0" fontId="0" numFmtId="165" xfId="0" applyAlignment="1" applyBorder="1" applyFont="1" applyNumberFormat="1">
      <alignment horizontal="right" readingOrder="0" vertical="center"/>
    </xf>
    <xf borderId="4" fillId="0" fontId="0" numFmtId="164" xfId="0" applyAlignment="1" applyBorder="1" applyFont="1" applyNumberFormat="1">
      <alignment horizontal="right" readingOrder="0" vertical="center"/>
    </xf>
    <xf borderId="6" fillId="0" fontId="0" numFmtId="0" xfId="0" applyAlignment="1" applyBorder="1" applyFont="1">
      <alignment horizontal="center" readingOrder="0" shrinkToFit="0" vertical="center" wrapText="1"/>
    </xf>
    <xf borderId="0" fillId="0" fontId="0" numFmtId="167" xfId="0" applyAlignment="1" applyFont="1" applyNumberFormat="1">
      <alignment vertical="bottom"/>
    </xf>
    <xf borderId="5" fillId="0" fontId="5" numFmtId="0" xfId="0" applyBorder="1" applyFont="1"/>
    <xf borderId="6" fillId="0" fontId="5" numFmtId="0" xfId="0" applyBorder="1" applyFont="1"/>
    <xf borderId="4" fillId="0" fontId="0" numFmtId="165" xfId="0" applyAlignment="1" applyBorder="1" applyFont="1" applyNumberFormat="1">
      <alignment readingOrder="0" vertical="center"/>
    </xf>
    <xf borderId="4" fillId="0" fontId="0" numFmtId="164" xfId="0" applyAlignment="1" applyBorder="1" applyFont="1" applyNumberFormat="1">
      <alignment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0" numFmtId="0" xfId="0" applyAlignment="1" applyBorder="1" applyFont="1">
      <alignment horizontal="center" readingOrder="0" vertical="center"/>
    </xf>
    <xf borderId="6" fillId="3" fontId="0" numFmtId="0" xfId="0" applyAlignment="1" applyBorder="1" applyFont="1">
      <alignment horizontal="center" readingOrder="0" shrinkToFit="0" vertical="center" wrapText="1"/>
    </xf>
    <xf borderId="6" fillId="0" fontId="0" numFmtId="164" xfId="0" applyAlignment="1" applyBorder="1" applyFont="1" applyNumberFormat="1">
      <alignment horizontal="center" readingOrder="0" vertical="center"/>
    </xf>
    <xf borderId="6" fillId="0" fontId="0" numFmtId="0" xfId="0" applyAlignment="1" applyBorder="1" applyFont="1">
      <alignment horizontal="center" readingOrder="0" vertical="center"/>
    </xf>
    <xf borderId="7" fillId="2" fontId="8" numFmtId="164" xfId="0" applyAlignment="1" applyBorder="1" applyFont="1" applyNumberFormat="1">
      <alignment horizontal="center" vertical="center"/>
    </xf>
    <xf borderId="2" fillId="0" fontId="5" numFmtId="0" xfId="0" applyBorder="1" applyFont="1"/>
    <xf borderId="4" fillId="2" fontId="8" numFmtId="164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vertical="center"/>
    </xf>
    <xf borderId="0" fillId="0" fontId="8" numFmtId="0" xfId="0" applyAlignment="1" applyFont="1">
      <alignment vertical="bottom"/>
    </xf>
    <xf borderId="0" fillId="0" fontId="8" numFmtId="166" xfId="0" applyAlignment="1" applyFont="1" applyNumberFormat="1">
      <alignment vertical="bottom"/>
    </xf>
    <xf borderId="0" fillId="0" fontId="8" numFmtId="3" xfId="0" applyAlignment="1" applyFont="1" applyNumberFormat="1">
      <alignment vertical="bottom"/>
    </xf>
    <xf borderId="0" fillId="3" fontId="0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3" fillId="3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shrinkToFit="0" vertical="center" wrapText="1"/>
    </xf>
    <xf borderId="4" fillId="0" fontId="0" numFmtId="164" xfId="0" applyAlignment="1" applyBorder="1" applyFont="1" applyNumberFormat="1">
      <alignment horizontal="center" vertical="center"/>
    </xf>
    <xf borderId="4" fillId="0" fontId="0" numFmtId="165" xfId="0" applyAlignment="1" applyBorder="1" applyFont="1" applyNumberFormat="1">
      <alignment horizontal="center" readingOrder="0" vertical="center"/>
    </xf>
    <xf borderId="4" fillId="3" fontId="0" numFmtId="164" xfId="0" applyAlignment="1" applyBorder="1" applyFont="1" applyNumberFormat="1">
      <alignment horizontal="right" vertical="center"/>
    </xf>
    <xf borderId="4" fillId="3" fontId="0" numFmtId="164" xfId="0" applyAlignment="1" applyBorder="1" applyFont="1" applyNumberFormat="1">
      <alignment horizontal="center" vertical="center"/>
    </xf>
    <xf borderId="4" fillId="3" fontId="0" numFmtId="0" xfId="0" applyAlignment="1" applyBorder="1" applyFont="1">
      <alignment horizontal="center" vertical="center"/>
    </xf>
    <xf borderId="4" fillId="3" fontId="10" numFmtId="0" xfId="0" applyAlignment="1" applyBorder="1" applyFont="1">
      <alignment vertical="center"/>
    </xf>
    <xf borderId="4" fillId="3" fontId="0" numFmtId="0" xfId="0" applyAlignment="1" applyBorder="1" applyFont="1">
      <alignment horizontal="center" readingOrder="0" vertical="center"/>
    </xf>
    <xf borderId="4" fillId="0" fontId="0" numFmtId="164" xfId="0" applyAlignment="1" applyBorder="1" applyFont="1" applyNumberFormat="1">
      <alignment horizontal="center" readingOrder="0" vertical="center"/>
    </xf>
    <xf borderId="4" fillId="0" fontId="0" numFmtId="165" xfId="0" applyAlignment="1" applyBorder="1" applyFont="1" applyNumberFormat="1">
      <alignment horizontal="center" vertical="center"/>
    </xf>
    <xf borderId="4" fillId="0" fontId="0" numFmtId="164" xfId="0" applyAlignment="1" applyBorder="1" applyFont="1" applyNumberFormat="1">
      <alignment vertical="center"/>
    </xf>
    <xf borderId="4" fillId="3" fontId="0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0" numFmtId="0" xfId="0" applyAlignment="1" applyBorder="1" applyFont="1">
      <alignment vertical="center"/>
    </xf>
    <xf borderId="7" fillId="4" fontId="8" numFmtId="0" xfId="0" applyAlignment="1" applyBorder="1" applyFill="1" applyFont="1">
      <alignment horizontal="center" vertical="center"/>
    </xf>
    <xf borderId="4" fillId="4" fontId="8" numFmtId="164" xfId="0" applyAlignment="1" applyBorder="1" applyFont="1" applyNumberFormat="1">
      <alignment horizontal="center" vertical="center"/>
    </xf>
    <xf borderId="6" fillId="4" fontId="8" numFmtId="164" xfId="0" applyAlignment="1" applyBorder="1" applyFont="1" applyNumberFormat="1">
      <alignment horizontal="center" vertical="center"/>
    </xf>
    <xf borderId="6" fillId="4" fontId="0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3" fontId="0" numFmtId="0" xfId="0" applyAlignment="1" applyBorder="1" applyFont="1">
      <alignment vertical="center"/>
    </xf>
    <xf borderId="1" fillId="0" fontId="0" numFmtId="164" xfId="0" applyAlignment="1" applyBorder="1" applyFont="1" applyNumberFormat="1">
      <alignment vertical="center"/>
    </xf>
    <xf borderId="8" fillId="0" fontId="10" numFmtId="0" xfId="0" applyAlignment="1" applyBorder="1" applyFont="1">
      <alignment vertical="center"/>
    </xf>
    <xf borderId="9" fillId="0" fontId="5" numFmtId="0" xfId="0" applyBorder="1" applyFont="1"/>
    <xf borderId="10" fillId="0" fontId="10" numFmtId="165" xfId="0" applyAlignment="1" applyBorder="1" applyFont="1" applyNumberFormat="1">
      <alignment vertical="center"/>
    </xf>
    <xf borderId="11" fillId="0" fontId="5" numFmtId="0" xfId="0" applyBorder="1" applyFont="1"/>
    <xf borderId="0" fillId="0" fontId="0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1" numFmtId="165" xfId="0" applyAlignment="1" applyFont="1" applyNumberFormat="1">
      <alignment horizontal="left" readingOrder="0" vertical="center"/>
    </xf>
    <xf borderId="0" fillId="3" fontId="0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0" numFmtId="164" xfId="0" applyAlignment="1" applyFont="1" applyNumberFormat="1">
      <alignment vertical="bottom"/>
    </xf>
    <xf borderId="0" fillId="0" fontId="0" numFmtId="165" xfId="0" applyAlignment="1" applyFont="1" applyNumberFormat="1">
      <alignment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09825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6.14"/>
    <col customWidth="1" min="3" max="5" width="21.29"/>
    <col customWidth="1" min="6" max="6" width="19.86"/>
    <col customWidth="1" min="7" max="7" width="20.29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7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6</v>
      </c>
      <c r="B12" s="15"/>
      <c r="C12" s="16"/>
      <c r="D12" s="17"/>
      <c r="E12" s="16"/>
      <c r="F12" s="16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0" t="s">
        <v>12</v>
      </c>
      <c r="G13" s="19" t="s">
        <v>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>
        <v>1.0</v>
      </c>
      <c r="B14" s="24" t="s">
        <v>13</v>
      </c>
      <c r="C14" s="25">
        <v>5500000.0</v>
      </c>
      <c r="D14" s="26">
        <v>45195.0</v>
      </c>
      <c r="E14" s="27">
        <v>1375000.0</v>
      </c>
      <c r="F14" s="25">
        <f>C14-E14-E15-E16</f>
        <v>0</v>
      </c>
      <c r="G14" s="28" t="s">
        <v>14</v>
      </c>
      <c r="H14" s="5"/>
      <c r="I14" s="2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0"/>
      <c r="B15" s="31"/>
      <c r="C15" s="31"/>
      <c r="D15" s="32">
        <v>45205.0</v>
      </c>
      <c r="E15" s="33">
        <v>1375000.0</v>
      </c>
      <c r="F15" s="31"/>
      <c r="G15" s="31"/>
      <c r="H15" s="5"/>
      <c r="I15" s="2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4"/>
      <c r="B16" s="35"/>
      <c r="C16" s="35"/>
      <c r="D16" s="32">
        <v>45232.0</v>
      </c>
      <c r="E16" s="33">
        <v>2750000.0</v>
      </c>
      <c r="F16" s="35"/>
      <c r="G16" s="35"/>
      <c r="H16" s="5"/>
      <c r="I16" s="2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6">
        <v>2.0</v>
      </c>
      <c r="B17" s="37" t="s">
        <v>15</v>
      </c>
      <c r="C17" s="25">
        <v>5500000.0</v>
      </c>
      <c r="D17" s="26">
        <v>45306.0</v>
      </c>
      <c r="E17" s="27">
        <v>1375000.0</v>
      </c>
      <c r="F17" s="25">
        <f>C17-E17-E18-E19</f>
        <v>0</v>
      </c>
      <c r="G17" s="28" t="str">
        <f>if(F17&gt;=C17,"Tunggakan","Lunas")</f>
        <v>Lunas</v>
      </c>
      <c r="H17" s="5"/>
      <c r="I17" s="2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0"/>
      <c r="B18" s="31"/>
      <c r="C18" s="31"/>
      <c r="D18" s="32">
        <v>45406.0</v>
      </c>
      <c r="E18" s="33">
        <v>1375000.0</v>
      </c>
      <c r="F18" s="31"/>
      <c r="G18" s="31"/>
      <c r="H18" s="5"/>
      <c r="I18" s="2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4"/>
      <c r="B19" s="35"/>
      <c r="C19" s="35"/>
      <c r="D19" s="32">
        <v>45463.0</v>
      </c>
      <c r="E19" s="33">
        <v>2750000.0</v>
      </c>
      <c r="F19" s="35"/>
      <c r="G19" s="35"/>
      <c r="H19" s="5"/>
      <c r="I19" s="2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6">
        <v>3.0</v>
      </c>
      <c r="B20" s="37" t="s">
        <v>16</v>
      </c>
      <c r="C20" s="25">
        <v>5500000.0</v>
      </c>
      <c r="D20" s="26">
        <v>45509.0</v>
      </c>
      <c r="E20" s="27">
        <v>1375000.0</v>
      </c>
      <c r="F20" s="25">
        <f>C20-E20-E21-E22</f>
        <v>0</v>
      </c>
      <c r="G20" s="28" t="str">
        <f>if(F20&gt;=C20,"Tunggakan","Lunas")</f>
        <v>Lunas</v>
      </c>
      <c r="H20" s="5"/>
      <c r="I20" s="2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0"/>
      <c r="B21" s="31"/>
      <c r="C21" s="31"/>
      <c r="D21" s="32">
        <v>45601.0</v>
      </c>
      <c r="E21" s="33">
        <v>1375000.0</v>
      </c>
      <c r="F21" s="31"/>
      <c r="G21" s="31"/>
      <c r="H21" s="5"/>
      <c r="I21" s="2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4"/>
      <c r="B22" s="35"/>
      <c r="C22" s="35"/>
      <c r="D22" s="32">
        <v>45649.0</v>
      </c>
      <c r="E22" s="33">
        <v>2750000.0</v>
      </c>
      <c r="F22" s="35"/>
      <c r="G22" s="35"/>
      <c r="H22" s="5"/>
      <c r="I22" s="2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6">
        <v>4.0</v>
      </c>
      <c r="B23" s="37" t="s">
        <v>17</v>
      </c>
      <c r="C23" s="38">
        <f>5500000-1500000</f>
        <v>4000000</v>
      </c>
      <c r="D23" s="32">
        <v>45705.0</v>
      </c>
      <c r="E23" s="33">
        <v>1375000.0</v>
      </c>
      <c r="F23" s="25">
        <f>C23-E23-E24</f>
        <v>0</v>
      </c>
      <c r="G23" s="39" t="s">
        <v>18</v>
      </c>
      <c r="H23" s="5"/>
      <c r="I23" s="2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4"/>
      <c r="B24" s="35"/>
      <c r="C24" s="35"/>
      <c r="D24" s="32">
        <v>45733.0</v>
      </c>
      <c r="E24" s="33">
        <v>2625000.0</v>
      </c>
      <c r="F24" s="35"/>
      <c r="G24" s="35"/>
      <c r="H24" s="5"/>
      <c r="I24" s="2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0" t="s">
        <v>19</v>
      </c>
      <c r="B25" s="41"/>
      <c r="C25" s="41"/>
      <c r="D25" s="35"/>
      <c r="E25" s="42">
        <f t="shared" ref="E25:F25" si="1">sum(E14:E24)</f>
        <v>20500000</v>
      </c>
      <c r="F25" s="42">
        <f t="shared" si="1"/>
        <v>0</v>
      </c>
      <c r="G25" s="43"/>
      <c r="H25" s="44"/>
      <c r="I25" s="44"/>
      <c r="J25" s="44"/>
      <c r="K25" s="45"/>
      <c r="L25" s="46"/>
      <c r="M25" s="46"/>
      <c r="N25" s="46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7"/>
      <c r="B26" s="47"/>
      <c r="C26" s="3"/>
      <c r="D26" s="4"/>
      <c r="E26" s="3"/>
      <c r="F26" s="3"/>
      <c r="G26" s="2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8" t="s">
        <v>20</v>
      </c>
      <c r="B27" s="2"/>
      <c r="C27" s="3"/>
      <c r="D27" s="4"/>
      <c r="E27" s="3"/>
      <c r="F27" s="3"/>
      <c r="G27" s="2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5"/>
      <c r="B28" s="15"/>
      <c r="C28" s="16"/>
      <c r="D28" s="17"/>
      <c r="E28" s="16"/>
      <c r="F28" s="16"/>
      <c r="G28" s="15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7</v>
      </c>
      <c r="B29" s="19" t="s">
        <v>8</v>
      </c>
      <c r="C29" s="20" t="s">
        <v>9</v>
      </c>
      <c r="D29" s="21" t="s">
        <v>10</v>
      </c>
      <c r="E29" s="20" t="s">
        <v>11</v>
      </c>
      <c r="F29" s="20" t="s">
        <v>12</v>
      </c>
      <c r="G29" s="19" t="s">
        <v>8</v>
      </c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9">
        <v>1.0</v>
      </c>
      <c r="B30" s="50" t="s">
        <v>21</v>
      </c>
      <c r="C30" s="51">
        <v>300000.0</v>
      </c>
      <c r="D30" s="52">
        <v>45190.0</v>
      </c>
      <c r="E30" s="53">
        <v>300000.0</v>
      </c>
      <c r="F30" s="54">
        <f t="shared" ref="F30:F32" si="2">C30-E30</f>
        <v>0</v>
      </c>
      <c r="G30" s="55" t="s">
        <v>14</v>
      </c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9">
        <v>2.0</v>
      </c>
      <c r="B31" s="56" t="s">
        <v>22</v>
      </c>
      <c r="C31" s="51">
        <v>1350000.0</v>
      </c>
      <c r="D31" s="52">
        <v>45220.0</v>
      </c>
      <c r="E31" s="33">
        <v>1350000.0</v>
      </c>
      <c r="F31" s="54">
        <f t="shared" si="2"/>
        <v>0</v>
      </c>
      <c r="G31" s="57" t="s">
        <v>14</v>
      </c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9">
        <v>3.0</v>
      </c>
      <c r="B32" s="50" t="s">
        <v>23</v>
      </c>
      <c r="C32" s="58">
        <v>2500000.0</v>
      </c>
      <c r="D32" s="52">
        <v>45232.0</v>
      </c>
      <c r="E32" s="33">
        <v>2500000.0</v>
      </c>
      <c r="F32" s="54">
        <f t="shared" si="2"/>
        <v>0</v>
      </c>
      <c r="G32" s="57" t="s">
        <v>14</v>
      </c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9">
        <v>4.0</v>
      </c>
      <c r="B33" s="50" t="s">
        <v>24</v>
      </c>
      <c r="C33" s="51"/>
      <c r="D33" s="59"/>
      <c r="E33" s="60"/>
      <c r="F33" s="61"/>
      <c r="G33" s="55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2" t="s">
        <v>25</v>
      </c>
      <c r="B34" s="41"/>
      <c r="C34" s="41"/>
      <c r="D34" s="35"/>
      <c r="E34" s="63">
        <f>sum(E30:E33)</f>
        <v>4150000</v>
      </c>
      <c r="F34" s="63">
        <f>SUM(F30:F33)</f>
        <v>0</v>
      </c>
      <c r="G34" s="64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5" t="s">
        <v>26</v>
      </c>
      <c r="B35" s="41"/>
      <c r="C35" s="41"/>
      <c r="D35" s="35"/>
      <c r="E35" s="66">
        <f>E34+E25</f>
        <v>24650000</v>
      </c>
      <c r="F35" s="67">
        <f>F25+F34</f>
        <v>0</v>
      </c>
      <c r="G35" s="68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7"/>
      <c r="B36" s="69"/>
      <c r="E36" s="3"/>
      <c r="F36" s="69"/>
      <c r="H36" s="5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0"/>
      <c r="B37" s="10"/>
      <c r="C37" s="11"/>
      <c r="D37" s="11"/>
      <c r="E37" s="71"/>
      <c r="F37" s="10"/>
      <c r="G37" s="11"/>
      <c r="H37" s="5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2" t="s">
        <v>27</v>
      </c>
      <c r="G38" s="73"/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2" t="s">
        <v>28</v>
      </c>
      <c r="G39" s="73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2" t="s">
        <v>29</v>
      </c>
      <c r="G40" s="73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4" t="s">
        <v>30</v>
      </c>
      <c r="B41" s="11"/>
      <c r="C41" s="11"/>
      <c r="D41" s="11"/>
      <c r="E41" s="11"/>
      <c r="F41" s="11"/>
      <c r="G41" s="75"/>
      <c r="H41" s="76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7.0" customHeight="1">
      <c r="A42" s="2"/>
      <c r="B42" s="2"/>
      <c r="C42" s="3"/>
      <c r="D42" s="4"/>
      <c r="E42" s="3"/>
      <c r="F42" s="77" t="s">
        <v>31</v>
      </c>
      <c r="G42" s="78">
        <v>45733.0</v>
      </c>
      <c r="H42" s="79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0" customHeight="1">
      <c r="A43" s="2"/>
      <c r="B43" s="3"/>
      <c r="C43" s="3"/>
      <c r="D43" s="4"/>
      <c r="E43" s="3"/>
      <c r="F43" s="80" t="s">
        <v>32</v>
      </c>
      <c r="H43" s="81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2"/>
      <c r="C44" s="3"/>
      <c r="D44" s="4"/>
      <c r="E44" s="3"/>
      <c r="F44" s="80" t="s">
        <v>33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69"/>
      <c r="D45" s="4"/>
      <c r="E45" s="3"/>
      <c r="F45" s="3"/>
      <c r="G45" s="82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2"/>
      <c r="C46" s="3"/>
      <c r="D46" s="4"/>
      <c r="E46" s="3"/>
      <c r="F46" s="3"/>
      <c r="G46" s="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69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3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83" t="s">
        <v>34</v>
      </c>
      <c r="G49" s="11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84" t="s">
        <v>35</v>
      </c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69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69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6"/>
      <c r="L970" s="7"/>
      <c r="M970" s="7"/>
      <c r="N970" s="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6"/>
      <c r="L971" s="7"/>
      <c r="M971" s="7"/>
      <c r="N971" s="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6"/>
      <c r="L972" s="7"/>
      <c r="M972" s="7"/>
      <c r="N972" s="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6"/>
      <c r="L973" s="7"/>
      <c r="M973" s="7"/>
      <c r="N973" s="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6"/>
      <c r="L974" s="7"/>
      <c r="M974" s="7"/>
      <c r="N974" s="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4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4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4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D1002" s="4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D1003" s="4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"/>
      <c r="D1004" s="4"/>
      <c r="E1004" s="3"/>
      <c r="F1004" s="3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"/>
      <c r="D1005" s="4"/>
      <c r="E1005" s="3"/>
      <c r="F1005" s="3"/>
      <c r="G1005" s="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"/>
      <c r="D1006" s="4"/>
      <c r="E1006" s="3"/>
      <c r="F1006" s="3"/>
      <c r="G1006" s="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"/>
      <c r="D1007" s="4"/>
      <c r="E1007" s="3"/>
      <c r="F1007" s="3"/>
      <c r="G1007" s="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"/>
      <c r="D1008" s="4"/>
      <c r="E1008" s="3"/>
      <c r="F1008" s="3"/>
      <c r="G1008" s="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46">
    <mergeCell ref="C2:G2"/>
    <mergeCell ref="C4:G4"/>
    <mergeCell ref="A5:G5"/>
    <mergeCell ref="A7:H7"/>
    <mergeCell ref="A8:H8"/>
    <mergeCell ref="A9:H9"/>
    <mergeCell ref="A10:G10"/>
    <mergeCell ref="A14:A16"/>
    <mergeCell ref="B14:B16"/>
    <mergeCell ref="C14:C16"/>
    <mergeCell ref="G14:G16"/>
    <mergeCell ref="B17:B19"/>
    <mergeCell ref="C17:C19"/>
    <mergeCell ref="G17:G19"/>
    <mergeCell ref="A17:A19"/>
    <mergeCell ref="A20:A22"/>
    <mergeCell ref="B20:B22"/>
    <mergeCell ref="C20:C22"/>
    <mergeCell ref="A23:A24"/>
    <mergeCell ref="B23:B24"/>
    <mergeCell ref="C23:C24"/>
    <mergeCell ref="A40:G40"/>
    <mergeCell ref="A41:G41"/>
    <mergeCell ref="B45:C45"/>
    <mergeCell ref="A25:D25"/>
    <mergeCell ref="A34:D34"/>
    <mergeCell ref="A35:D35"/>
    <mergeCell ref="B36:D36"/>
    <mergeCell ref="B37:D37"/>
    <mergeCell ref="A38:G38"/>
    <mergeCell ref="A39:G39"/>
    <mergeCell ref="F37:G37"/>
    <mergeCell ref="F43:G43"/>
    <mergeCell ref="F44:G44"/>
    <mergeCell ref="F47:G47"/>
    <mergeCell ref="F49:G49"/>
    <mergeCell ref="F50:G50"/>
    <mergeCell ref="E51:F51"/>
    <mergeCell ref="E52:G52"/>
    <mergeCell ref="F14:F16"/>
    <mergeCell ref="F17:F19"/>
    <mergeCell ref="F20:F22"/>
    <mergeCell ref="G20:G22"/>
    <mergeCell ref="F23:F24"/>
    <mergeCell ref="G23:G24"/>
    <mergeCell ref="F36:G36"/>
  </mergeCells>
  <printOptions horizontalCentered="1"/>
  <pageMargins bottom="0.75" footer="0.0" header="0.0" left="0.7" right="0.7" top="0.75"/>
  <pageSetup scale="7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