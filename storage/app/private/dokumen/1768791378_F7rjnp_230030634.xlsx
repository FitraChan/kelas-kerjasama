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lQEFpT38GL5FsOWjXEPJ1L0YU3LmyS8UTQP5Op5yAg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======
ID#AAABaxc_R9E
MBC Consulting    (2025-02-14 00:41:42)
mendapatankan keringanan biaya 50% sudah di acc rektor dengan nomor surat disposisi external _ 102</t>
      </text>
    </comment>
  </commentList>
  <extLst>
    <ext uri="GoogleSheetsCustomDataVersion2">
      <go:sheetsCustomData xmlns:go="http://customooxmlschemas.google.com/" r:id="rId1" roundtripDataSignature="AMtx7mjYUg1dxBm5EaVBw6zt0ES0e/AtHw=="/>
    </ext>
  </extLst>
</comments>
</file>

<file path=xl/sharedStrings.xml><?xml version="1.0" encoding="utf-8"?>
<sst xmlns="http://schemas.openxmlformats.org/spreadsheetml/2006/main" count="51" uniqueCount="40">
  <si>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</si>
  <si>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</si>
  <si>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</si>
  <si>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230030634</t>
  </si>
  <si>
    <t>Nama     : I Gede Rio Indra</t>
  </si>
  <si>
    <t>Prodi      : SISTEM INFORMASI</t>
  </si>
  <si>
    <r>
      <rPr>
        <rFont val="Times New Roman"/>
        <color rgb="FF000000"/>
        <sz val="15.0"/>
      </rPr>
      <t>I</t>
    </r>
    <r>
      <rPr>
        <rFont val="Times New Roman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</si>
  <si>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</si>
  <si>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</si>
  <si>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</si>
  <si>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</si>
  <si>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</si>
  <si>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</si>
  <si>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I (Ganjil 2023/2024)</t>
  </si>
  <si>
    <t>Poltek Ganesha</t>
  </si>
  <si>
    <t>Semester II (Genap 2023/2024)</t>
  </si>
  <si>
    <t>Semester III (Ganjil 2024/2025))</t>
  </si>
  <si>
    <t>Lunas</t>
  </si>
  <si>
    <t>Semester IV (Genap 2024/2025)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</si>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</sst>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1.0"/>
      <color theme="1"/>
      <name val="Times New Roman"/>
    </font>
    <font>
      <b/>
      <sz val="21.0"/>
      <color theme="1"/>
      <name val="Calibri"/>
    </font>
    <font>
      <sz val="12.0"/>
      <color theme="1"/>
      <name val="Times New Roman"/>
    </font>
    <font>
      <sz val="14.0"/>
      <color theme="1"/>
      <name val="Calibri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5" fillId="3" fontId="2" numFmtId="0" xfId="0" applyAlignment="1" applyBorder="1" applyFill="1" applyFont="1">
      <alignment horizontal="left" shrinkToFit="0" vertical="center" wrapText="1"/>
    </xf>
    <xf borderId="5" fillId="0" fontId="2" numFmtId="164" xfId="0" applyAlignment="1" applyBorder="1" applyFont="1" applyNumberFormat="1">
      <alignment horizontal="left" vertical="center"/>
    </xf>
    <xf borderId="6" fillId="0" fontId="2" numFmtId="164" xfId="0" applyAlignment="1" applyBorder="1" applyFont="1" applyNumberFormat="1">
      <alignment horizontal="left" vertical="center"/>
    </xf>
    <xf borderId="0" fillId="0" fontId="2" numFmtId="167" xfId="0" applyAlignment="1" applyFont="1" applyNumberFormat="1">
      <alignment vertical="bottom"/>
    </xf>
    <xf borderId="7" fillId="0" fontId="2" numFmtId="0" xfId="0" applyAlignment="1" applyBorder="1" applyFont="1">
      <alignment horizontal="center" readingOrder="0" shrinkToFit="0" vertical="center" wrapText="0"/>
    </xf>
    <xf borderId="7" fillId="3" fontId="2" numFmtId="0" xfId="0" applyAlignment="1" applyBorder="1" applyFont="1">
      <alignment horizontal="left" shrinkToFit="0" vertical="center" wrapText="1"/>
    </xf>
    <xf borderId="8" fillId="0" fontId="2" numFmtId="164" xfId="0" applyAlignment="1" applyBorder="1" applyFont="1" applyNumberFormat="1">
      <alignment horizontal="left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readingOrder="0" vertical="center"/>
    </xf>
    <xf borderId="8" fillId="0" fontId="2" numFmtId="164" xfId="0" applyAlignment="1" applyBorder="1" applyFont="1" applyNumberFormat="1">
      <alignment horizontal="left" vertical="center"/>
    </xf>
    <xf borderId="8" fillId="0" fontId="2" numFmtId="0" xfId="0" applyAlignment="1" applyBorder="1" applyFont="1">
      <alignment horizontal="left" readingOrder="0" vertical="center"/>
    </xf>
    <xf borderId="3" fillId="0" fontId="6" numFmtId="0" xfId="0" applyBorder="1" applyFont="1"/>
    <xf borderId="4" fillId="0" fontId="6" numFmtId="0" xfId="0" applyBorder="1" applyFont="1"/>
    <xf borderId="7" fillId="3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9" fillId="2" fontId="9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9" numFmtId="164" xfId="0" applyAlignment="1" applyBorder="1" applyFont="1" applyNumberForma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10" fillId="0" fontId="13" numFmtId="164" xfId="0" applyAlignment="1" applyBorder="1" applyFont="1" applyNumberForma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3" fillId="3" fontId="14" numFmtId="0" xfId="0" applyAlignment="1" applyBorder="1" applyFont="1">
      <alignment horizontal="center" vertical="center"/>
    </xf>
    <xf borderId="4" fillId="3" fontId="14" numFmtId="0" xfId="0" applyAlignment="1" applyBorder="1" applyFont="1">
      <alignment vertical="center"/>
    </xf>
    <xf borderId="13" fillId="0" fontId="6" numFmtId="0" xfId="0" applyBorder="1" applyFont="1"/>
    <xf borderId="8" fillId="0" fontId="6" numFmtId="0" xfId="0" applyBorder="1" applyFont="1"/>
    <xf borderId="4" fillId="3" fontId="14" numFmtId="0" xfId="0" applyAlignment="1" applyBorder="1" applyFont="1">
      <alignment shrinkToFit="0" vertical="center" wrapText="1"/>
    </xf>
    <xf borderId="9" fillId="0" fontId="13" numFmtId="164" xfId="0" applyAlignment="1" applyBorder="1" applyFont="1" applyNumberFormat="1">
      <alignment horizontal="center" vertical="center"/>
    </xf>
    <xf borderId="2" fillId="0" fontId="13" numFmtId="164" xfId="0" applyAlignment="1" applyBorder="1" applyFont="1" applyNumberFormat="1">
      <alignment horizontal="center" vertical="center"/>
    </xf>
    <xf borderId="4" fillId="0" fontId="13" numFmtId="164" xfId="0" applyAlignment="1" applyBorder="1" applyFont="1" applyNumberFormat="1">
      <alignment horizontal="center" vertical="center"/>
    </xf>
    <xf borderId="9" fillId="2" fontId="9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2" fillId="4" fontId="9" numFmtId="164" xfId="0" applyAlignment="1" applyBorder="1" applyFont="1" applyNumberForma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4" fontId="9" numFmtId="164" xfId="0" applyAlignment="1" applyBorder="1" applyFont="1" applyNumberFormat="1">
      <alignment horizontal="center" vertical="center"/>
    </xf>
    <xf borderId="8" fillId="4" fontId="10" numFmtId="164" xfId="0" applyAlignment="1" applyBorder="1" applyFont="1" applyNumberFormat="1">
      <alignment horizontal="center" vertical="center"/>
    </xf>
    <xf borderId="8" fillId="4" fontId="1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vertical="bottom"/>
    </xf>
    <xf borderId="0" fillId="0" fontId="15" numFmtId="3" xfId="0" applyAlignment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4" fillId="0" fontId="14" numFmtId="0" xfId="0" applyAlignment="1" applyBorder="1" applyFont="1">
      <alignment vertical="center"/>
    </xf>
    <xf borderId="15" fillId="0" fontId="6" numFmtId="0" xfId="0" applyBorder="1" applyFont="1"/>
    <xf borderId="16" fillId="0" fontId="14" numFmtId="165" xfId="0" applyAlignment="1" applyBorder="1" applyFont="1" applyNumberFormat="1">
      <alignment vertical="center"/>
    </xf>
    <xf borderId="17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6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7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43"/>
    <col customWidth="1" min="3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>
        <v>1.0</v>
      </c>
      <c r="B14" s="23" t="s">
        <v>13</v>
      </c>
      <c r="C14" s="24" t="s">
        <v>14</v>
      </c>
      <c r="D14" s="25"/>
      <c r="E14" s="25" t="s">
        <v>14</v>
      </c>
      <c r="F14" s="25"/>
      <c r="G14" s="25" t="s">
        <v>14</v>
      </c>
      <c r="H14" s="5"/>
      <c r="I14" s="2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>
        <v>2.0</v>
      </c>
      <c r="B15" s="28" t="s">
        <v>15</v>
      </c>
      <c r="C15" s="29">
        <v>4300000.0</v>
      </c>
      <c r="D15" s="30">
        <v>45324.0</v>
      </c>
      <c r="E15" s="31">
        <v>2300000.0</v>
      </c>
      <c r="F15" s="32">
        <f>C15-E15-E16</f>
        <v>0</v>
      </c>
      <c r="G15" s="33" t="str">
        <f>IF(C15&gt;=F15,"Lunas","Tunggakan")</f>
        <v>Lunas</v>
      </c>
      <c r="H15" s="5"/>
      <c r="I15" s="2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4"/>
      <c r="B16" s="34"/>
      <c r="C16" s="35"/>
      <c r="D16" s="30">
        <v>45413.0</v>
      </c>
      <c r="E16" s="31">
        <v>2000000.0</v>
      </c>
      <c r="F16" s="35"/>
      <c r="G16" s="35"/>
      <c r="H16" s="5"/>
      <c r="I16" s="2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7">
        <v>3.0</v>
      </c>
      <c r="B17" s="36" t="s">
        <v>16</v>
      </c>
      <c r="C17" s="29">
        <v>4300000.0</v>
      </c>
      <c r="D17" s="30">
        <v>45518.0</v>
      </c>
      <c r="E17" s="31">
        <v>3500000.0</v>
      </c>
      <c r="F17" s="32">
        <f>C17-E17-E18</f>
        <v>0</v>
      </c>
      <c r="G17" s="33" t="s">
        <v>17</v>
      </c>
      <c r="H17" s="5"/>
      <c r="I17" s="2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4"/>
      <c r="B18" s="34"/>
      <c r="C18" s="35"/>
      <c r="D18" s="30">
        <v>45664.0</v>
      </c>
      <c r="E18" s="31">
        <v>800000.0</v>
      </c>
      <c r="F18" s="35"/>
      <c r="G18" s="35"/>
      <c r="H18" s="5"/>
      <c r="I18" s="2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>
        <v>4.0</v>
      </c>
      <c r="B19" s="38" t="s">
        <v>18</v>
      </c>
      <c r="C19" s="31">
        <v>2150000.0</v>
      </c>
      <c r="D19" s="30">
        <v>45702.0</v>
      </c>
      <c r="E19" s="31">
        <v>2150000.0</v>
      </c>
      <c r="F19" s="31">
        <f>C19-E19</f>
        <v>0</v>
      </c>
      <c r="G19" s="39" t="s">
        <v>17</v>
      </c>
      <c r="H19" s="5"/>
      <c r="I19" s="2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0"/>
      <c r="B20" s="41"/>
      <c r="C20" s="42"/>
      <c r="D20" s="43"/>
      <c r="E20" s="42"/>
      <c r="F20" s="42"/>
      <c r="G20" s="44"/>
      <c r="H20" s="5"/>
      <c r="I20" s="2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0"/>
      <c r="B21" s="41"/>
      <c r="C21" s="42"/>
      <c r="D21" s="43"/>
      <c r="E21" s="42"/>
      <c r="F21" s="42"/>
      <c r="G21" s="44"/>
      <c r="H21" s="5"/>
      <c r="I21" s="2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0"/>
      <c r="B22" s="41"/>
      <c r="C22" s="42"/>
      <c r="D22" s="43"/>
      <c r="E22" s="42"/>
      <c r="F22" s="42"/>
      <c r="G22" s="44"/>
      <c r="H22" s="5"/>
      <c r="I22" s="2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5" t="s">
        <v>19</v>
      </c>
      <c r="B23" s="46"/>
      <c r="C23" s="47">
        <f>sum(C15:C22)</f>
        <v>10750000</v>
      </c>
      <c r="D23" s="48"/>
      <c r="E23" s="48">
        <f>SUM(E15:E22)</f>
        <v>10750000</v>
      </c>
      <c r="F23" s="49">
        <f>SUM(F14:F22)</f>
        <v>0</v>
      </c>
      <c r="G23" s="50"/>
      <c r="H23" s="51"/>
      <c r="I23" s="51"/>
      <c r="J23" s="51"/>
      <c r="K23" s="52"/>
      <c r="L23" s="53"/>
      <c r="M23" s="53"/>
      <c r="N23" s="5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4"/>
      <c r="B24" s="54"/>
      <c r="C24" s="3"/>
      <c r="D24" s="4"/>
      <c r="E24" s="3"/>
      <c r="F24" s="3"/>
      <c r="G24" s="2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5" t="s">
        <v>20</v>
      </c>
      <c r="B25" s="2"/>
      <c r="C25" s="3"/>
      <c r="D25" s="4"/>
      <c r="E25" s="3"/>
      <c r="F25" s="3"/>
      <c r="G25" s="2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/>
      <c r="B26" s="15"/>
      <c r="C26" s="16"/>
      <c r="D26" s="17"/>
      <c r="E26" s="16"/>
      <c r="F26" s="16"/>
      <c r="G26" s="15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7</v>
      </c>
      <c r="B27" s="19" t="s">
        <v>8</v>
      </c>
      <c r="C27" s="20" t="s">
        <v>9</v>
      </c>
      <c r="D27" s="21" t="s">
        <v>10</v>
      </c>
      <c r="E27" s="20" t="s">
        <v>11</v>
      </c>
      <c r="F27" s="20" t="s">
        <v>12</v>
      </c>
      <c r="G27" s="19" t="s">
        <v>8</v>
      </c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6">
        <v>1.0</v>
      </c>
      <c r="B28" s="57" t="s">
        <v>21</v>
      </c>
      <c r="C28" s="58" t="s">
        <v>22</v>
      </c>
      <c r="D28" s="59"/>
      <c r="E28" s="59"/>
      <c r="F28" s="59"/>
      <c r="G28" s="60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1">
        <v>2.0</v>
      </c>
      <c r="B29" s="62" t="s">
        <v>23</v>
      </c>
      <c r="C29" s="63"/>
      <c r="G29" s="64"/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1">
        <v>3.0</v>
      </c>
      <c r="B30" s="65" t="s">
        <v>24</v>
      </c>
      <c r="C30" s="63"/>
      <c r="G30" s="64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1">
        <v>4.0</v>
      </c>
      <c r="B31" s="65" t="s">
        <v>25</v>
      </c>
      <c r="C31" s="66"/>
      <c r="D31" s="67"/>
      <c r="E31" s="67"/>
      <c r="F31" s="67"/>
      <c r="G31" s="68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9" t="s">
        <v>26</v>
      </c>
      <c r="B32" s="46"/>
      <c r="C32" s="47">
        <f>sum(C28)</f>
        <v>0</v>
      </c>
      <c r="D32" s="70"/>
      <c r="E32" s="48">
        <f>sum(E28:E31)</f>
        <v>0</v>
      </c>
      <c r="F32" s="48">
        <f>SUM(F28:F31)</f>
        <v>0</v>
      </c>
      <c r="G32" s="50"/>
      <c r="H32" s="51"/>
      <c r="I32" s="51"/>
      <c r="J32" s="51"/>
      <c r="K32" s="52"/>
      <c r="L32" s="53"/>
      <c r="M32" s="53"/>
      <c r="N32" s="53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71" t="s">
        <v>27</v>
      </c>
      <c r="B33" s="46"/>
      <c r="C33" s="72">
        <f>C23+C32</f>
        <v>10750000</v>
      </c>
      <c r="D33" s="73"/>
      <c r="E33" s="74">
        <f>E32+E23</f>
        <v>10750000</v>
      </c>
      <c r="F33" s="75">
        <f>F23+F32</f>
        <v>0</v>
      </c>
      <c r="G33" s="76"/>
      <c r="H33" s="77"/>
      <c r="I33" s="77"/>
      <c r="J33" s="77"/>
      <c r="K33" s="78"/>
      <c r="L33" s="79"/>
      <c r="M33" s="79"/>
      <c r="N33" s="79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54"/>
      <c r="B34" s="80"/>
      <c r="E34" s="3"/>
      <c r="F34" s="81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2"/>
      <c r="B35" s="10"/>
      <c r="C35" s="11"/>
      <c r="D35" s="11"/>
      <c r="E35" s="83"/>
      <c r="F35" s="84"/>
      <c r="G35" s="11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5" t="s">
        <v>28</v>
      </c>
      <c r="G36" s="86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5" t="s">
        <v>29</v>
      </c>
      <c r="G37" s="86"/>
      <c r="H37" s="5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5" t="s">
        <v>30</v>
      </c>
      <c r="G38" s="86"/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7" t="s">
        <v>31</v>
      </c>
      <c r="B39" s="11"/>
      <c r="C39" s="11"/>
      <c r="D39" s="11"/>
      <c r="E39" s="11"/>
      <c r="F39" s="11"/>
      <c r="G39" s="88"/>
      <c r="H39" s="89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9.25" customHeight="1">
      <c r="A40" s="2"/>
      <c r="B40" s="2"/>
      <c r="C40" s="3"/>
      <c r="D40" s="4"/>
      <c r="E40" s="3"/>
      <c r="F40" s="90" t="s">
        <v>32</v>
      </c>
      <c r="G40" s="91">
        <v>45692.0</v>
      </c>
      <c r="H40" s="92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6.75" customHeight="1">
      <c r="A41" s="2"/>
      <c r="B41" s="3"/>
      <c r="C41" s="3"/>
      <c r="D41" s="4"/>
      <c r="E41" s="3"/>
      <c r="F41" s="93" t="s">
        <v>33</v>
      </c>
      <c r="H41" s="94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93" t="s">
        <v>34</v>
      </c>
      <c r="D42" s="4"/>
      <c r="E42" s="3"/>
      <c r="F42" s="93" t="s">
        <v>35</v>
      </c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2"/>
      <c r="C43" s="3"/>
      <c r="D43" s="4"/>
      <c r="E43" s="3"/>
      <c r="F43" s="3"/>
      <c r="G43" s="4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2"/>
      <c r="C44" s="3"/>
      <c r="D44" s="4"/>
      <c r="E44" s="3"/>
      <c r="F44" s="3"/>
      <c r="G44" s="2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3"/>
      <c r="F45" s="81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3"/>
      <c r="C46" s="3"/>
      <c r="D46" s="4"/>
      <c r="E46" s="3"/>
      <c r="F46" s="3"/>
      <c r="G46" s="3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95" t="s">
        <v>36</v>
      </c>
      <c r="C47" s="11"/>
      <c r="D47" s="4"/>
      <c r="E47" s="3"/>
      <c r="F47" s="96" t="s">
        <v>37</v>
      </c>
      <c r="G47" s="11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97" t="s">
        <v>38</v>
      </c>
      <c r="D48" s="4"/>
      <c r="E48" s="3"/>
      <c r="F48" s="98" t="s">
        <v>39</v>
      </c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81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80"/>
      <c r="D50" s="4"/>
      <c r="E50" s="81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6"/>
      <c r="L971" s="7"/>
      <c r="M971" s="7"/>
      <c r="N971" s="7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6"/>
      <c r="L972" s="7"/>
      <c r="M972" s="7"/>
      <c r="N972" s="7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4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"/>
      <c r="B1004" s="2"/>
      <c r="C1004" s="3"/>
      <c r="D1004" s="4"/>
      <c r="E1004" s="3"/>
      <c r="F1004" s="3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"/>
      <c r="B1005" s="2"/>
      <c r="C1005" s="3"/>
      <c r="D1005" s="4"/>
      <c r="E1005" s="3"/>
      <c r="F1005" s="3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"/>
      <c r="B1006" s="2"/>
      <c r="C1006" s="3"/>
      <c r="D1006" s="4"/>
      <c r="E1006" s="3"/>
      <c r="F1006" s="3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40">
    <mergeCell ref="C2:G2"/>
    <mergeCell ref="C4:G4"/>
    <mergeCell ref="A5:G5"/>
    <mergeCell ref="A7:H7"/>
    <mergeCell ref="A8:H8"/>
    <mergeCell ref="A9:H9"/>
    <mergeCell ref="A10:G10"/>
    <mergeCell ref="F15:F16"/>
    <mergeCell ref="F17:F18"/>
    <mergeCell ref="A15:A16"/>
    <mergeCell ref="B15:B16"/>
    <mergeCell ref="C15:C16"/>
    <mergeCell ref="G15:G16"/>
    <mergeCell ref="A17:A18"/>
    <mergeCell ref="B17:B18"/>
    <mergeCell ref="G17:G18"/>
    <mergeCell ref="F34:G34"/>
    <mergeCell ref="F35:G35"/>
    <mergeCell ref="F41:G41"/>
    <mergeCell ref="F45:G45"/>
    <mergeCell ref="F48:G48"/>
    <mergeCell ref="C17:C18"/>
    <mergeCell ref="C28:G30"/>
    <mergeCell ref="B34:D34"/>
    <mergeCell ref="B35:D35"/>
    <mergeCell ref="A23:B23"/>
    <mergeCell ref="A32:B32"/>
    <mergeCell ref="A33:B33"/>
    <mergeCell ref="B47:C47"/>
    <mergeCell ref="B48:C48"/>
    <mergeCell ref="E49:F49"/>
    <mergeCell ref="B50:C50"/>
    <mergeCell ref="E50:G50"/>
    <mergeCell ref="A36:G36"/>
    <mergeCell ref="A37:G37"/>
    <mergeCell ref="A38:G38"/>
    <mergeCell ref="A39:G39"/>
    <mergeCell ref="B42:C42"/>
    <mergeCell ref="F42:G42"/>
    <mergeCell ref="F47:G47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