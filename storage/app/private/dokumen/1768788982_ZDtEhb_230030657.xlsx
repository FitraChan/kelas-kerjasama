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BC\Downloads\"/>
    </mc:Choice>
  </mc:AlternateContent>
  <bookViews>
    <workbookView xWindow="0" yWindow="0" windowWidth="19200" windowHeight="7035"/>
  </bookViews>
  <sheets>
    <sheet name="Transfer Nilai" sheetId="1" r:id="rId1"/>
    <sheet name="Konversi Nilai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30" i="1"/>
  <c r="I39" i="1"/>
  <c r="I48" i="1"/>
  <c r="I55" i="1"/>
  <c r="I63" i="1"/>
  <c r="I88" i="1"/>
  <c r="I91" i="1"/>
  <c r="D91" i="1"/>
  <c r="D20" i="1"/>
  <c r="D30" i="1"/>
  <c r="D39" i="1"/>
  <c r="D48" i="1"/>
  <c r="D55" i="1"/>
  <c r="D63" i="1"/>
  <c r="D88" i="1"/>
  <c r="F13" i="1"/>
  <c r="F12" i="1"/>
  <c r="F90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65" i="1"/>
  <c r="F62" i="1"/>
  <c r="F61" i="1"/>
  <c r="F60" i="1"/>
  <c r="F59" i="1"/>
  <c r="F58" i="1"/>
  <c r="F57" i="1"/>
  <c r="F51" i="1"/>
  <c r="F52" i="1"/>
  <c r="F53" i="1"/>
  <c r="F54" i="1"/>
  <c r="F50" i="1"/>
  <c r="F42" i="1"/>
  <c r="F43" i="1"/>
  <c r="F44" i="1"/>
  <c r="F45" i="1"/>
  <c r="F46" i="1"/>
  <c r="F47" i="1"/>
  <c r="F41" i="1"/>
  <c r="F33" i="1"/>
  <c r="F34" i="1"/>
  <c r="F35" i="1"/>
  <c r="F36" i="1"/>
  <c r="F37" i="1"/>
  <c r="F38" i="1"/>
  <c r="F32" i="1"/>
  <c r="F23" i="1"/>
  <c r="F24" i="1"/>
  <c r="F25" i="1"/>
  <c r="F26" i="1"/>
  <c r="F27" i="1"/>
  <c r="F28" i="1"/>
  <c r="F29" i="1"/>
  <c r="F22" i="1"/>
  <c r="F14" i="1"/>
  <c r="F15" i="1"/>
  <c r="F16" i="1"/>
  <c r="F17" i="1"/>
  <c r="F18" i="1"/>
  <c r="F19" i="1"/>
  <c r="E90" i="1"/>
  <c r="E91" i="1" s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65" i="1"/>
  <c r="E62" i="1"/>
  <c r="E61" i="1"/>
  <c r="E60" i="1"/>
  <c r="E59" i="1"/>
  <c r="E58" i="1"/>
  <c r="E57" i="1"/>
  <c r="E51" i="1"/>
  <c r="E52" i="1"/>
  <c r="E53" i="1"/>
  <c r="E54" i="1"/>
  <c r="E50" i="1"/>
  <c r="E42" i="1"/>
  <c r="E43" i="1"/>
  <c r="E44" i="1"/>
  <c r="E45" i="1"/>
  <c r="E46" i="1"/>
  <c r="E47" i="1"/>
  <c r="E41" i="1"/>
  <c r="E33" i="1"/>
  <c r="E34" i="1"/>
  <c r="E35" i="1"/>
  <c r="E36" i="1"/>
  <c r="E37" i="1"/>
  <c r="E38" i="1"/>
  <c r="E32" i="1"/>
  <c r="E23" i="1"/>
  <c r="E24" i="1"/>
  <c r="E25" i="1"/>
  <c r="E26" i="1"/>
  <c r="E27" i="1"/>
  <c r="E28" i="1"/>
  <c r="E29" i="1"/>
  <c r="E22" i="1"/>
  <c r="E13" i="1"/>
  <c r="E14" i="1"/>
  <c r="E15" i="1"/>
  <c r="E16" i="1"/>
  <c r="E17" i="1"/>
  <c r="E18" i="1"/>
  <c r="E19" i="1"/>
  <c r="E12" i="1"/>
  <c r="I92" i="1" l="1"/>
  <c r="E55" i="1"/>
  <c r="E39" i="1"/>
  <c r="E88" i="1"/>
  <c r="E48" i="1"/>
  <c r="E63" i="1"/>
  <c r="E30" i="1"/>
  <c r="E20" i="1"/>
  <c r="F30" i="1"/>
  <c r="F20" i="1"/>
  <c r="D92" i="1" l="1"/>
  <c r="C7" i="1" s="1"/>
</calcChain>
</file>

<file path=xl/sharedStrings.xml><?xml version="1.0" encoding="utf-8"?>
<sst xmlns="http://schemas.openxmlformats.org/spreadsheetml/2006/main" count="291" uniqueCount="202">
  <si>
    <t>Hasil Transfer Nilai Sementara</t>
  </si>
  <si>
    <t>Program Studi Sistem Informasi ITB STIKOM Bali</t>
  </si>
  <si>
    <t>Nama Calon Mhs</t>
  </si>
  <si>
    <t>Prodi Asal</t>
  </si>
  <si>
    <t>: Manajemen Informatika</t>
  </si>
  <si>
    <t>Asal PT/Univ.</t>
  </si>
  <si>
    <t>: Universitas Pendidikan Ganesha</t>
  </si>
  <si>
    <t>Jenis</t>
  </si>
  <si>
    <t>: Lanjut Studi</t>
  </si>
  <si>
    <t>Fakultas</t>
  </si>
  <si>
    <t>Tgl. Proses</t>
  </si>
  <si>
    <t>Total SKS diakui</t>
  </si>
  <si>
    <t>Matakuliah ITB STIKOM Bali</t>
  </si>
  <si>
    <t>Matakuliah Asal</t>
  </si>
  <si>
    <t>NO</t>
  </si>
  <si>
    <t>KODE</t>
  </si>
  <si>
    <t>MATA KULIAH</t>
  </si>
  <si>
    <t>SKS</t>
  </si>
  <si>
    <t>SKS Diakui</t>
  </si>
  <si>
    <t>Nilai</t>
  </si>
  <si>
    <t>SEMESTER 1</t>
  </si>
  <si>
    <t>SI211103</t>
  </si>
  <si>
    <t>Pendidikan Pancasila</t>
  </si>
  <si>
    <t>-</t>
  </si>
  <si>
    <t>Pancasila</t>
  </si>
  <si>
    <t>A</t>
  </si>
  <si>
    <t>SI211501</t>
  </si>
  <si>
    <t>Pendidikan Bahasa Indonesia</t>
  </si>
  <si>
    <t>Bahasa Indonesia</t>
  </si>
  <si>
    <t>AB</t>
  </si>
  <si>
    <t>SI213103</t>
  </si>
  <si>
    <t>Dasar Infrastruktur Teknologi</t>
  </si>
  <si>
    <t>SI213108</t>
  </si>
  <si>
    <t>Konsep dan Aplikasi Sistem Informasi</t>
  </si>
  <si>
    <t>SI213114</t>
  </si>
  <si>
    <t>Matematika Diskrit</t>
  </si>
  <si>
    <t>SI213117</t>
  </si>
  <si>
    <t>Sistem Operasi</t>
  </si>
  <si>
    <t>SI213201</t>
  </si>
  <si>
    <t>Prak. Algoritma dan Struktur Data</t>
  </si>
  <si>
    <t>SI213501</t>
  </si>
  <si>
    <t>Algoritma dan Struktur Data</t>
  </si>
  <si>
    <t>Total SKS</t>
  </si>
  <si>
    <t>SEMESTER 2</t>
  </si>
  <si>
    <t>SI213503</t>
  </si>
  <si>
    <t>Basis Data</t>
  </si>
  <si>
    <t>SI213504</t>
  </si>
  <si>
    <t>E-Business</t>
  </si>
  <si>
    <t>SI213505</t>
  </si>
  <si>
    <t>Jaringan Komputer</t>
  </si>
  <si>
    <t>SI213202</t>
  </si>
  <si>
    <t>Prak. Basis Data</t>
  </si>
  <si>
    <t>SI213203</t>
  </si>
  <si>
    <t>Prak. Jaringan Komputer</t>
  </si>
  <si>
    <t>SI211101</t>
  </si>
  <si>
    <t>Pendidikan Agama</t>
  </si>
  <si>
    <t>SI211102</t>
  </si>
  <si>
    <t>Pendidikan Kewarganegaraan</t>
  </si>
  <si>
    <t>SI212503</t>
  </si>
  <si>
    <t>Pendidikan Bahasa Asing I</t>
  </si>
  <si>
    <t>Bahasa Inggris</t>
  </si>
  <si>
    <t>SEMESTER 3</t>
  </si>
  <si>
    <t>SI212504</t>
  </si>
  <si>
    <t>Pendidikan Bahasa Asing II</t>
  </si>
  <si>
    <t>SI213102</t>
  </si>
  <si>
    <t>Cloud Computing</t>
  </si>
  <si>
    <t>SI213118</t>
  </si>
  <si>
    <t>Statistik</t>
  </si>
  <si>
    <t>SI213110</t>
  </si>
  <si>
    <t>Manajemen Bisnis</t>
  </si>
  <si>
    <t>SI213506</t>
  </si>
  <si>
    <t>Project Management</t>
  </si>
  <si>
    <t>SI213302</t>
  </si>
  <si>
    <t>Pemrograman Web</t>
  </si>
  <si>
    <t>SI213116</t>
  </si>
  <si>
    <t>Rekayasa Perangkat Lunak</t>
  </si>
  <si>
    <t xml:space="preserve">SEMESTER 4 </t>
  </si>
  <si>
    <t>SI213502</t>
  </si>
  <si>
    <t>Analisis dan Perancangan Sistem</t>
  </si>
  <si>
    <t>SI213509</t>
  </si>
  <si>
    <t>User Experience</t>
  </si>
  <si>
    <t>SI213106</t>
  </si>
  <si>
    <t>Information System Security</t>
  </si>
  <si>
    <t>SI213119</t>
  </si>
  <si>
    <t>Supply Chain Management</t>
  </si>
  <si>
    <t>SI213301</t>
  </si>
  <si>
    <t>Pemrograman Berorientasi Obyek</t>
  </si>
  <si>
    <t>SI212505</t>
  </si>
  <si>
    <t>Pendidikan Bahasa Asing III</t>
  </si>
  <si>
    <t>SI212506</t>
  </si>
  <si>
    <t>Pendidikan Etika dan Anti Korupsi</t>
  </si>
  <si>
    <t>SEMESTER 5</t>
  </si>
  <si>
    <t>SI212502</t>
  </si>
  <si>
    <t>Metodologi Penulisan Ilmiah</t>
  </si>
  <si>
    <t>SI213101</t>
  </si>
  <si>
    <t>Audit Sistem Informasi</t>
  </si>
  <si>
    <t>SI213109</t>
  </si>
  <si>
    <t>Manajemen &amp; Organisasi</t>
  </si>
  <si>
    <t>SI213113</t>
  </si>
  <si>
    <t>Marketing Communication</t>
  </si>
  <si>
    <t>SI213508</t>
  </si>
  <si>
    <t>Rintisan Bisnis Digital</t>
  </si>
  <si>
    <t>SEMESTER 6</t>
  </si>
  <si>
    <t>SI213112</t>
  </si>
  <si>
    <t>Manajemen Layanan TI</t>
  </si>
  <si>
    <t>SI213107</t>
  </si>
  <si>
    <t>Kecerdasan Bisnis</t>
  </si>
  <si>
    <t>SI213115</t>
  </si>
  <si>
    <t>Perencanaan Strategis TI</t>
  </si>
  <si>
    <t>SI213105</t>
  </si>
  <si>
    <t>Enterprise Architecture</t>
  </si>
  <si>
    <t>SI212201</t>
  </si>
  <si>
    <t>Seni dan Budaya</t>
  </si>
  <si>
    <t>SI212501</t>
  </si>
  <si>
    <t>Kewirausahaan</t>
  </si>
  <si>
    <t>SEMESTER 7</t>
  </si>
  <si>
    <t>SI212508</t>
  </si>
  <si>
    <t>Technopreneurship</t>
  </si>
  <si>
    <t>SI213104</t>
  </si>
  <si>
    <t>E-Commerce</t>
  </si>
  <si>
    <t>SI213111</t>
  </si>
  <si>
    <t>Manajemen dan Proses TI</t>
  </si>
  <si>
    <t>SI213401</t>
  </si>
  <si>
    <t>Kerja Praktek</t>
  </si>
  <si>
    <t>SI213507</t>
  </si>
  <si>
    <t>Proposal Tugas Akhir</t>
  </si>
  <si>
    <t>SI214101</t>
  </si>
  <si>
    <t>Advertising dan Sosial Media</t>
  </si>
  <si>
    <t>SI214102</t>
  </si>
  <si>
    <t>Data Mining</t>
  </si>
  <si>
    <t>SI214103</t>
  </si>
  <si>
    <t>Data Visualization</t>
  </si>
  <si>
    <t>SI214104</t>
  </si>
  <si>
    <t>Data Warehouse</t>
  </si>
  <si>
    <t>SI214105</t>
  </si>
  <si>
    <t>Deep Learning</t>
  </si>
  <si>
    <t>SI214106</t>
  </si>
  <si>
    <t>Image Processing</t>
  </si>
  <si>
    <t>SI214107</t>
  </si>
  <si>
    <t>IT Governance</t>
  </si>
  <si>
    <t>SI214108</t>
  </si>
  <si>
    <t>Keamanan Siber</t>
  </si>
  <si>
    <t>SI214109</t>
  </si>
  <si>
    <t>Manajemen Perubahan Organisasi</t>
  </si>
  <si>
    <t>SI214110</t>
  </si>
  <si>
    <t>Manajemen Resiko dan Kualitas TI</t>
  </si>
  <si>
    <t>SI214111</t>
  </si>
  <si>
    <t>Sistem Informasi Geografis</t>
  </si>
  <si>
    <t>SI214112</t>
  </si>
  <si>
    <t>Teknik Peramalan</t>
  </si>
  <si>
    <t>SI214301</t>
  </si>
  <si>
    <t>Animasi dan Pemodelan 3D</t>
  </si>
  <si>
    <t>SI214302</t>
  </si>
  <si>
    <t>Game Programming</t>
  </si>
  <si>
    <t>SI214303</t>
  </si>
  <si>
    <t>Mobile Programming</t>
  </si>
  <si>
    <t>SI214304</t>
  </si>
  <si>
    <t>Realitas Virtual dan Augmentasi</t>
  </si>
  <si>
    <t>SI214305</t>
  </si>
  <si>
    <t>Teknologi Pengujian Sistem</t>
  </si>
  <si>
    <t>SI214501</t>
  </si>
  <si>
    <t>Teknologi Manajemen Proyek</t>
  </si>
  <si>
    <t>SEMESTER 8</t>
  </si>
  <si>
    <t>SI213402</t>
  </si>
  <si>
    <t>Tugas Akhir</t>
  </si>
  <si>
    <t>SKS STIKOM BALI</t>
  </si>
  <si>
    <t>SKS ASAL</t>
  </si>
  <si>
    <t>Nilai Asal</t>
  </si>
  <si>
    <t>Nilai Diakui</t>
  </si>
  <si>
    <t>B</t>
  </si>
  <si>
    <t>BC</t>
  </si>
  <si>
    <t>C</t>
  </si>
  <si>
    <t>A-</t>
  </si>
  <si>
    <t>B+</t>
  </si>
  <si>
    <t>B-</t>
  </si>
  <si>
    <t>C+</t>
  </si>
  <si>
    <t>Agama</t>
  </si>
  <si>
    <t>Algoritma Pemrograman I</t>
  </si>
  <si>
    <t>Pengenalan Komputer</t>
  </si>
  <si>
    <t>Bahasa Pemrograman Tingkat Tinggi I</t>
  </si>
  <si>
    <t>Pengantar Database</t>
  </si>
  <si>
    <t>Kewiraan</t>
  </si>
  <si>
    <t>Manajemen</t>
  </si>
  <si>
    <t>Pemrograman Sistem Tersebar</t>
  </si>
  <si>
    <t>Pemrograman Sistem</t>
  </si>
  <si>
    <t>Komputer Grafik</t>
  </si>
  <si>
    <t>Bahasa Pemrograman Tingkat Tinggi II</t>
  </si>
  <si>
    <t>Teknologi Informasi</t>
  </si>
  <si>
    <t>Komputer dan Masyarakat</t>
  </si>
  <si>
    <t>Organisasi dan Metode</t>
  </si>
  <si>
    <t>Pemrograman Simulasi</t>
  </si>
  <si>
    <t>Struktur Data</t>
  </si>
  <si>
    <t>Arsitektur Komputer II</t>
  </si>
  <si>
    <t>Arsitektur Komputer I</t>
  </si>
  <si>
    <t>Algoritma Pemrograman II</t>
  </si>
  <si>
    <t>Piranti Masukan dan Keluaran</t>
  </si>
  <si>
    <t>Pengantar Sistem Tersebar</t>
  </si>
  <si>
    <t>: Teknik dan Kejuruan</t>
  </si>
  <si>
    <t>: 16 Oktober 2023</t>
  </si>
  <si>
    <t>: I Made Widya Kartika</t>
  </si>
  <si>
    <t>Jaringan Informasi Lokal</t>
  </si>
  <si>
    <t>Teknik Survei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</si>
</sst>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rgb="FF000000"/>
      <name val="Verdana"/>
      <family val="2"/>
    </font>
    <font>
      <b/>
      <sz val="10"/>
      <color rgb="FFFFFFFF"/>
      <name val="Verdana"/>
      <family val="2"/>
    </font>
    <font>
      <sz val="11"/>
      <color rgb="FFFFFFFF"/>
      <name val="Verdana"/>
      <family val="2"/>
    </font>
    <font>
      <b/>
      <sz val="11"/>
      <color rgb="FFFFFFFF"/>
      <name val="Verdana"/>
      <family val="2"/>
    </font>
    <font>
      <sz val="10"/>
      <color rgb="FFFFFFFF"/>
      <name val="Verdana"/>
      <family val="2"/>
    </font>
    <font>
      <b/>
      <i/>
      <sz val="10"/>
      <name val="Verdana"/>
      <family val="2"/>
    </font>
    <font>
      <b/>
      <sz val="11"/>
      <name val="Verdana"/>
      <family val="2"/>
    </font>
    <font>
      <b/>
      <i/>
      <sz val="11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69696"/>
      </patternFill>
    </fill>
    <fill>
      <patternFill patternType="solid">
        <fgColor rgb="FF1F497D"/>
        <bgColor rgb="FF003366"/>
      </patternFill>
    </fill>
    <fill>
      <patternFill patternType="solid">
        <fgColor rgb="FFC6D9F1"/>
        <bgColor rgb="FFBFBFB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69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1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16" fillId="4" borderId="3" xfId="0" applyFont="1" applyFill="1" applyBorder="1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vertical="center"/>
    </xf>
    <xf numFmtId="0" fontId="16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4" fillId="5" borderId="7" xfId="0" applyFont="1" applyFill="1" applyBorder="1"/>
    <xf numFmtId="0" fontId="14" fillId="6" borderId="7" xfId="0" applyFont="1" applyFill="1" applyBorder="1" applyAlignment="1">
      <alignment horizontal="center" vertical="center" wrapText="1"/>
    </xf>
    <xf numFmtId="0" fontId="19" fillId="5" borderId="7" xfId="0" applyFont="1" applyFill="1" applyBorder="1"/>
    <xf numFmtId="0" fontId="14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/>
    </xf>
    <xf numFmtId="0" fontId="20" fillId="5" borderId="7" xfId="0" applyFont="1" applyFill="1" applyBorder="1"/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2"/>
  <sheetViews>
    <sheetView tabSelected="1" zoomScale="70" zoomScaleNormal="70" workbookViewId="0">
      <selection activeCell="C4" sqref="C4"/>
    </sheetView>
  </sheetViews>
  <sheetFormatPr defaultRowHeight="15" x14ac:dyDescent="0.25"/>
  <cols>
    <col min="2" max="2" width="12.28515625" customWidth="1"/>
    <col min="3" max="3" width="34.85546875" bestFit="1" customWidth="1"/>
    <col min="4" max="4" width="5.5703125" style="28" bestFit="1" customWidth="1"/>
    <col min="6" max="6" width="6.140625" bestFit="1" customWidth="1"/>
    <col min="7" max="7" width="12.5703125" customWidth="1"/>
    <col min="8" max="8" width="46.85546875" customWidth="1"/>
    <col min="9" max="10" width="6.140625" bestFit="1" customWidth="1"/>
  </cols>
  <sheetData>
    <row r="1" spans="1:10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 x14ac:dyDescent="0.25">
      <c r="A4" s="50" t="s">
        <v>2</v>
      </c>
      <c r="B4" s="50"/>
      <c r="C4" s="1" t="s">
        <v>199</v>
      </c>
      <c r="D4" s="51"/>
      <c r="E4" s="51"/>
      <c r="F4" s="51"/>
      <c r="G4" s="2" t="s">
        <v>3</v>
      </c>
      <c r="H4" s="3" t="s">
        <v>4</v>
      </c>
      <c r="I4" s="53"/>
      <c r="J4" s="53"/>
    </row>
    <row r="5" spans="1:10" x14ac:dyDescent="0.25">
      <c r="A5" s="50" t="s">
        <v>5</v>
      </c>
      <c r="B5" s="50"/>
      <c r="C5" s="4" t="s">
        <v>6</v>
      </c>
      <c r="D5" s="51"/>
      <c r="E5" s="51"/>
      <c r="F5" s="51"/>
      <c r="G5" s="2" t="s">
        <v>7</v>
      </c>
      <c r="H5" s="3" t="s">
        <v>8</v>
      </c>
      <c r="I5" s="53"/>
      <c r="J5" s="53"/>
    </row>
    <row r="6" spans="1:10" x14ac:dyDescent="0.25">
      <c r="A6" s="50" t="s">
        <v>9</v>
      </c>
      <c r="B6" s="50"/>
      <c r="C6" s="4" t="s">
        <v>197</v>
      </c>
      <c r="D6" s="51"/>
      <c r="E6" s="51"/>
      <c r="F6" s="51"/>
      <c r="G6" s="2" t="s">
        <v>10</v>
      </c>
      <c r="H6" s="3" t="s">
        <v>198</v>
      </c>
      <c r="I6" s="53"/>
      <c r="J6" s="53"/>
    </row>
    <row r="7" spans="1:10" x14ac:dyDescent="0.25">
      <c r="A7" s="50" t="s">
        <v>11</v>
      </c>
      <c r="B7" s="50"/>
      <c r="C7" s="5" t="str">
        <f>": "&amp;D92&amp;" SKS"</f>
        <v>: 81 SKS</v>
      </c>
      <c r="D7" s="51"/>
      <c r="E7" s="51"/>
      <c r="F7" s="51"/>
      <c r="G7" s="54"/>
      <c r="H7" s="54"/>
      <c r="I7" s="54"/>
      <c r="J7" s="54"/>
    </row>
    <row r="8" spans="1:10" x14ac:dyDescent="0.25">
      <c r="A8" s="56"/>
      <c r="B8" s="56"/>
      <c r="C8" s="56"/>
      <c r="D8" s="52"/>
      <c r="E8" s="52"/>
      <c r="F8" s="52"/>
      <c r="G8" s="55"/>
      <c r="H8" s="55"/>
      <c r="I8" s="55"/>
      <c r="J8" s="55"/>
    </row>
    <row r="9" spans="1:10" x14ac:dyDescent="0.25">
      <c r="A9" s="57" t="s">
        <v>12</v>
      </c>
      <c r="B9" s="57"/>
      <c r="C9" s="57"/>
      <c r="D9" s="57"/>
      <c r="E9" s="57"/>
      <c r="F9" s="58"/>
      <c r="G9" s="59" t="s">
        <v>13</v>
      </c>
      <c r="H9" s="57"/>
      <c r="I9" s="57"/>
      <c r="J9" s="57"/>
    </row>
    <row r="10" spans="1:10" ht="28.5" x14ac:dyDescent="0.25">
      <c r="A10" s="6" t="s">
        <v>14</v>
      </c>
      <c r="B10" s="6" t="s">
        <v>15</v>
      </c>
      <c r="C10" s="7" t="s">
        <v>16</v>
      </c>
      <c r="D10" s="8" t="s">
        <v>17</v>
      </c>
      <c r="E10" s="8" t="s">
        <v>18</v>
      </c>
      <c r="F10" s="9" t="s">
        <v>19</v>
      </c>
      <c r="G10" s="10" t="s">
        <v>15</v>
      </c>
      <c r="H10" s="11" t="s">
        <v>16</v>
      </c>
      <c r="I10" s="11" t="s">
        <v>17</v>
      </c>
      <c r="J10" s="11" t="s">
        <v>19</v>
      </c>
    </row>
    <row r="11" spans="1:10" x14ac:dyDescent="0.25">
      <c r="A11" s="12" t="s">
        <v>20</v>
      </c>
      <c r="B11" s="12"/>
      <c r="C11" s="12"/>
      <c r="D11" s="20"/>
      <c r="E11" s="13"/>
      <c r="F11" s="14"/>
      <c r="G11" s="15"/>
      <c r="H11" s="16"/>
      <c r="I11" s="17"/>
      <c r="J11" s="16"/>
    </row>
    <row r="12" spans="1:10" x14ac:dyDescent="0.25">
      <c r="A12" s="18">
        <v>1</v>
      </c>
      <c r="B12" s="19" t="s">
        <v>21</v>
      </c>
      <c r="C12" s="19" t="s">
        <v>22</v>
      </c>
      <c r="D12" s="27">
        <v>2</v>
      </c>
      <c r="E12" s="18">
        <f>IF(AND($G12&lt;&gt;"",$H12&lt;&gt;"",$I12&lt;&gt;"",$J12&lt;&gt;""),$D12,"")</f>
        <v>2</v>
      </c>
      <c r="F12" s="18" t="str">
        <f>IF(AND($G12&lt;&gt;"",$H12&lt;&gt;"",$I12&lt;&gt;"",$J12&lt;&gt;""),_xlfn.IFNA(VLOOKUP(UPPER(J12),'Konversi Nilai'!$B$3:$C$28,2,FALSE),""),"")</f>
        <v>B</v>
      </c>
      <c r="G12" s="45" t="s">
        <v>23</v>
      </c>
      <c r="H12" s="45" t="s">
        <v>24</v>
      </c>
      <c r="I12" s="46">
        <v>2</v>
      </c>
      <c r="J12" s="44" t="s">
        <v>169</v>
      </c>
    </row>
    <row r="13" spans="1:10" x14ac:dyDescent="0.25">
      <c r="A13" s="18">
        <v>2</v>
      </c>
      <c r="B13" s="19" t="s">
        <v>26</v>
      </c>
      <c r="C13" s="19" t="s">
        <v>27</v>
      </c>
      <c r="D13" s="27">
        <v>2</v>
      </c>
      <c r="E13" s="18">
        <f t="shared" ref="E13:E19" si="0">IF(AND($G13&lt;&gt;"",$H13&lt;&gt;"",$I13&lt;&gt;"",$J13&lt;&gt;""),$D13,"")</f>
        <v>2</v>
      </c>
      <c r="F13" s="18" t="str">
        <f>IF(AND($G13&lt;&gt;"",$H13&lt;&gt;"",$I13&lt;&gt;"",$J13&lt;&gt;""),_xlfn.IFNA(VLOOKUP(UPPER(J13),'Konversi Nilai'!$B$3:$C$28,2,FALSE),""),"")</f>
        <v>C</v>
      </c>
      <c r="G13" s="45" t="s">
        <v>23</v>
      </c>
      <c r="H13" s="45" t="s">
        <v>28</v>
      </c>
      <c r="I13" s="46">
        <v>2</v>
      </c>
      <c r="J13" s="44" t="s">
        <v>171</v>
      </c>
    </row>
    <row r="14" spans="1:10" x14ac:dyDescent="0.25">
      <c r="A14" s="18">
        <v>3</v>
      </c>
      <c r="B14" s="19" t="s">
        <v>30</v>
      </c>
      <c r="C14" s="19" t="s">
        <v>31</v>
      </c>
      <c r="D14" s="27">
        <v>2</v>
      </c>
      <c r="E14" s="18">
        <f t="shared" si="0"/>
        <v>2</v>
      </c>
      <c r="F14" s="18" t="str">
        <f>IF(AND($G14&lt;&gt;"",$H14&lt;&gt;"",$I14&lt;&gt;"",$J14&lt;&gt;""),_xlfn.IFNA(VLOOKUP(UPPER(J14),'Konversi Nilai'!$B$3:$C$28,2,FALSE),""),"")</f>
        <v>B</v>
      </c>
      <c r="G14" s="45" t="s">
        <v>23</v>
      </c>
      <c r="H14" s="45" t="s">
        <v>195</v>
      </c>
      <c r="I14" s="46">
        <v>3</v>
      </c>
      <c r="J14" s="44" t="s">
        <v>169</v>
      </c>
    </row>
    <row r="15" spans="1:10" x14ac:dyDescent="0.25">
      <c r="A15" s="18">
        <v>4</v>
      </c>
      <c r="B15" s="19" t="s">
        <v>32</v>
      </c>
      <c r="C15" s="19" t="s">
        <v>33</v>
      </c>
      <c r="D15" s="27">
        <v>2</v>
      </c>
      <c r="E15" s="18">
        <f t="shared" si="0"/>
        <v>2</v>
      </c>
      <c r="F15" s="18" t="str">
        <f>IF(AND($G15&lt;&gt;"",$H15&lt;&gt;"",$I15&lt;&gt;"",$J15&lt;&gt;""),_xlfn.IFNA(VLOOKUP(UPPER(J15),'Konversi Nilai'!$B$3:$C$28,2,FALSE),""),"")</f>
        <v>B</v>
      </c>
      <c r="G15" s="45" t="s">
        <v>23</v>
      </c>
      <c r="H15" s="45" t="s">
        <v>178</v>
      </c>
      <c r="I15" s="47">
        <v>3</v>
      </c>
      <c r="J15" s="44" t="s">
        <v>169</v>
      </c>
    </row>
    <row r="16" spans="1:10" x14ac:dyDescent="0.25">
      <c r="A16" s="18">
        <v>5</v>
      </c>
      <c r="B16" s="19" t="s">
        <v>34</v>
      </c>
      <c r="C16" s="19" t="s">
        <v>35</v>
      </c>
      <c r="D16" s="27">
        <v>4</v>
      </c>
      <c r="E16" s="18">
        <f t="shared" si="0"/>
        <v>4</v>
      </c>
      <c r="F16" s="18" t="str">
        <f>IF(AND($G16&lt;&gt;"",$H16&lt;&gt;"",$I16&lt;&gt;"",$J16&lt;&gt;""),_xlfn.IFNA(VLOOKUP(UPPER(J16),'Konversi Nilai'!$B$3:$C$28,2,FALSE),""),"")</f>
        <v>B</v>
      </c>
      <c r="G16" s="45" t="s">
        <v>23</v>
      </c>
      <c r="H16" s="45" t="s">
        <v>35</v>
      </c>
      <c r="I16" s="46">
        <v>3</v>
      </c>
      <c r="J16" s="44" t="s">
        <v>169</v>
      </c>
    </row>
    <row r="17" spans="1:10" x14ac:dyDescent="0.25">
      <c r="A17" s="18">
        <v>6</v>
      </c>
      <c r="B17" s="19" t="s">
        <v>36</v>
      </c>
      <c r="C17" s="19" t="s">
        <v>37</v>
      </c>
      <c r="D17" s="27">
        <v>2</v>
      </c>
      <c r="E17" s="18">
        <f t="shared" si="0"/>
        <v>2</v>
      </c>
      <c r="F17" s="18" t="str">
        <f>IF(AND($G17&lt;&gt;"",$H17&lt;&gt;"",$I17&lt;&gt;"",$J17&lt;&gt;""),_xlfn.IFNA(VLOOKUP(UPPER(J17),'Konversi Nilai'!$B$3:$C$28,2,FALSE),""),"")</f>
        <v>B</v>
      </c>
      <c r="G17" s="45" t="s">
        <v>23</v>
      </c>
      <c r="H17" s="45" t="s">
        <v>37</v>
      </c>
      <c r="I17" s="46">
        <v>3</v>
      </c>
      <c r="J17" s="44" t="s">
        <v>169</v>
      </c>
    </row>
    <row r="18" spans="1:10" x14ac:dyDescent="0.25">
      <c r="A18" s="18">
        <v>7</v>
      </c>
      <c r="B18" s="19" t="s">
        <v>38</v>
      </c>
      <c r="C18" s="19" t="s">
        <v>39</v>
      </c>
      <c r="D18" s="27">
        <v>1</v>
      </c>
      <c r="E18" s="18">
        <f t="shared" si="0"/>
        <v>1</v>
      </c>
      <c r="F18" s="18" t="str">
        <f>IF(AND($G18&lt;&gt;"",$H18&lt;&gt;"",$I18&lt;&gt;"",$J18&lt;&gt;""),_xlfn.IFNA(VLOOKUP(UPPER(J18),'Konversi Nilai'!$B$3:$C$28,2,FALSE),""),"")</f>
        <v>B</v>
      </c>
      <c r="G18" s="45" t="s">
        <v>23</v>
      </c>
      <c r="H18" s="45" t="s">
        <v>179</v>
      </c>
      <c r="I18" s="46">
        <v>3</v>
      </c>
      <c r="J18" s="44" t="s">
        <v>169</v>
      </c>
    </row>
    <row r="19" spans="1:10" x14ac:dyDescent="0.25">
      <c r="A19" s="18">
        <v>8</v>
      </c>
      <c r="B19" s="19" t="s">
        <v>40</v>
      </c>
      <c r="C19" s="19" t="s">
        <v>41</v>
      </c>
      <c r="D19" s="27">
        <v>4</v>
      </c>
      <c r="E19" s="18">
        <f t="shared" si="0"/>
        <v>4</v>
      </c>
      <c r="F19" s="18" t="str">
        <f>IF(AND($G19&lt;&gt;"",$H19&lt;&gt;"",$I19&lt;&gt;"",$J19&lt;&gt;""),_xlfn.IFNA(VLOOKUP(UPPER(J19),'Konversi Nilai'!$B$3:$C$28,2,FALSE),""),"")</f>
        <v>C</v>
      </c>
      <c r="G19" s="45" t="s">
        <v>23</v>
      </c>
      <c r="H19" s="44" t="s">
        <v>191</v>
      </c>
      <c r="I19" s="46">
        <v>3</v>
      </c>
      <c r="J19" s="44" t="s">
        <v>171</v>
      </c>
    </row>
    <row r="20" spans="1:10" x14ac:dyDescent="0.25">
      <c r="A20" s="60" t="s">
        <v>42</v>
      </c>
      <c r="B20" s="61"/>
      <c r="C20" s="62"/>
      <c r="D20" s="31">
        <f>SUM(D12:D19)</f>
        <v>19</v>
      </c>
      <c r="E20" s="31">
        <f>SUM(E12:E19)</f>
        <v>19</v>
      </c>
      <c r="F20" s="32">
        <f t="shared" ref="F20" si="1">IF(I20&lt;&gt;"",J20,"")</f>
        <v>0</v>
      </c>
      <c r="G20" s="33"/>
      <c r="H20" s="34"/>
      <c r="I20" s="31">
        <f>SUM(I12:I19)</f>
        <v>22</v>
      </c>
      <c r="J20" s="35"/>
    </row>
    <row r="21" spans="1:10" x14ac:dyDescent="0.25">
      <c r="A21" s="12" t="s">
        <v>43</v>
      </c>
      <c r="B21" s="12"/>
      <c r="C21" s="12"/>
      <c r="D21" s="20"/>
      <c r="E21" s="21"/>
      <c r="F21" s="22"/>
      <c r="G21" s="23"/>
      <c r="H21" s="16"/>
      <c r="I21" s="24"/>
      <c r="J21" s="24"/>
    </row>
    <row r="22" spans="1:10" x14ac:dyDescent="0.25">
      <c r="A22" s="18">
        <v>9</v>
      </c>
      <c r="B22" s="19" t="s">
        <v>44</v>
      </c>
      <c r="C22" s="19" t="s">
        <v>45</v>
      </c>
      <c r="D22" s="27">
        <v>2</v>
      </c>
      <c r="E22" s="18">
        <f>IF(AND($G22&lt;&gt;"",$H22&lt;&gt;"",$I22&lt;&gt;"",$J22&lt;&gt;""),$D22,"")</f>
        <v>2</v>
      </c>
      <c r="F22" s="18" t="str">
        <f>IF(AND($G22&lt;&gt;"",$H22&lt;&gt;"",$I22&lt;&gt;"",$J22&lt;&gt;""),_xlfn.IFNA(VLOOKUP(UPPER(J22),'Konversi Nilai'!$B$3:$C$28,2,FALSE),""),"")</f>
        <v>C</v>
      </c>
      <c r="G22" s="45" t="s">
        <v>23</v>
      </c>
      <c r="H22" s="45" t="s">
        <v>180</v>
      </c>
      <c r="I22" s="46">
        <v>3</v>
      </c>
      <c r="J22" s="44" t="s">
        <v>171</v>
      </c>
    </row>
    <row r="23" spans="1:10" x14ac:dyDescent="0.25">
      <c r="A23" s="18">
        <v>10</v>
      </c>
      <c r="B23" s="19" t="s">
        <v>46</v>
      </c>
      <c r="C23" s="19" t="s">
        <v>47</v>
      </c>
      <c r="D23" s="27">
        <v>4</v>
      </c>
      <c r="E23" s="18">
        <f t="shared" ref="E23:E29" si="2">IF(AND($G23&lt;&gt;"",$H23&lt;&gt;"",$I23&lt;&gt;"",$J23&lt;&gt;""),$D23,"")</f>
        <v>4</v>
      </c>
      <c r="F23" s="18" t="str">
        <f>IF(AND($G23&lt;&gt;"",$H23&lt;&gt;"",$I23&lt;&gt;"",$J23&lt;&gt;""),_xlfn.IFNA(VLOOKUP(UPPER(J23),'Konversi Nilai'!$B$3:$C$28,2,FALSE),""),"")</f>
        <v>C</v>
      </c>
      <c r="G23" s="44" t="s">
        <v>23</v>
      </c>
      <c r="H23" s="44" t="s">
        <v>177</v>
      </c>
      <c r="I23" s="46">
        <v>3</v>
      </c>
      <c r="J23" s="44" t="s">
        <v>171</v>
      </c>
    </row>
    <row r="24" spans="1:10" x14ac:dyDescent="0.25">
      <c r="A24" s="18">
        <v>11</v>
      </c>
      <c r="B24" s="19" t="s">
        <v>48</v>
      </c>
      <c r="C24" s="19" t="s">
        <v>49</v>
      </c>
      <c r="D24" s="27">
        <v>2</v>
      </c>
      <c r="E24" s="18">
        <f t="shared" si="2"/>
        <v>2</v>
      </c>
      <c r="F24" s="18" t="str">
        <f>IF(AND($G24&lt;&gt;"",$H24&lt;&gt;"",$I24&lt;&gt;"",$J24&lt;&gt;""),_xlfn.IFNA(VLOOKUP(UPPER(J24),'Konversi Nilai'!$B$3:$C$28,2,FALSE),""),"")</f>
        <v>B</v>
      </c>
      <c r="G24" s="45" t="s">
        <v>23</v>
      </c>
      <c r="H24" s="45" t="s">
        <v>200</v>
      </c>
      <c r="I24" s="46">
        <v>3</v>
      </c>
      <c r="J24" s="44" t="s">
        <v>169</v>
      </c>
    </row>
    <row r="25" spans="1:10" x14ac:dyDescent="0.25">
      <c r="A25" s="18">
        <v>12</v>
      </c>
      <c r="B25" s="19" t="s">
        <v>50</v>
      </c>
      <c r="C25" s="19" t="s">
        <v>51</v>
      </c>
      <c r="D25" s="27">
        <v>1</v>
      </c>
      <c r="E25" s="18">
        <f t="shared" si="2"/>
        <v>1</v>
      </c>
      <c r="F25" s="18" t="str">
        <f>IF(AND($G25&lt;&gt;"",$H25&lt;&gt;"",$I25&lt;&gt;"",$J25&lt;&gt;""),_xlfn.IFNA(VLOOKUP(UPPER(J25),'Konversi Nilai'!$B$3:$C$28,2,FALSE),""),"")</f>
        <v>C</v>
      </c>
      <c r="G25" s="45" t="s">
        <v>23</v>
      </c>
      <c r="H25" s="44" t="s">
        <v>194</v>
      </c>
      <c r="I25" s="47">
        <v>3</v>
      </c>
      <c r="J25" s="44" t="s">
        <v>171</v>
      </c>
    </row>
    <row r="26" spans="1:10" x14ac:dyDescent="0.25">
      <c r="A26" s="18">
        <v>13</v>
      </c>
      <c r="B26" s="19" t="s">
        <v>52</v>
      </c>
      <c r="C26" s="19" t="s">
        <v>53</v>
      </c>
      <c r="D26" s="27">
        <v>1</v>
      </c>
      <c r="E26" s="18">
        <f t="shared" si="2"/>
        <v>1</v>
      </c>
      <c r="F26" s="18" t="str">
        <f>IF(AND($G26&lt;&gt;"",$H26&lt;&gt;"",$I26&lt;&gt;"",$J26&lt;&gt;""),_xlfn.IFNA(VLOOKUP(UPPER(J26),'Konversi Nilai'!$B$3:$C$28,2,FALSE),""),"")</f>
        <v>B</v>
      </c>
      <c r="G26" s="45" t="s">
        <v>23</v>
      </c>
      <c r="H26" s="45" t="s">
        <v>192</v>
      </c>
      <c r="I26" s="46">
        <v>3</v>
      </c>
      <c r="J26" s="44" t="s">
        <v>169</v>
      </c>
    </row>
    <row r="27" spans="1:10" x14ac:dyDescent="0.25">
      <c r="A27" s="18">
        <v>14</v>
      </c>
      <c r="B27" s="19" t="s">
        <v>54</v>
      </c>
      <c r="C27" s="19" t="s">
        <v>55</v>
      </c>
      <c r="D27" s="27">
        <v>2</v>
      </c>
      <c r="E27" s="18">
        <f t="shared" si="2"/>
        <v>2</v>
      </c>
      <c r="F27" s="18" t="str">
        <f>IF(AND($G27&lt;&gt;"",$H27&lt;&gt;"",$I27&lt;&gt;"",$J27&lt;&gt;""),_xlfn.IFNA(VLOOKUP(UPPER(J27),'Konversi Nilai'!$B$3:$C$28,2,FALSE),""),"")</f>
        <v>B</v>
      </c>
      <c r="G27" s="45" t="s">
        <v>23</v>
      </c>
      <c r="H27" s="45" t="s">
        <v>176</v>
      </c>
      <c r="I27" s="46">
        <v>2</v>
      </c>
      <c r="J27" s="44" t="s">
        <v>169</v>
      </c>
    </row>
    <row r="28" spans="1:10" x14ac:dyDescent="0.25">
      <c r="A28" s="18">
        <v>15</v>
      </c>
      <c r="B28" s="19" t="s">
        <v>56</v>
      </c>
      <c r="C28" s="19" t="s">
        <v>57</v>
      </c>
      <c r="D28" s="27">
        <v>2</v>
      </c>
      <c r="E28" s="18">
        <f t="shared" si="2"/>
        <v>2</v>
      </c>
      <c r="F28" s="18" t="str">
        <f>IF(AND($G28&lt;&gt;"",$H28&lt;&gt;"",$I28&lt;&gt;"",$J28&lt;&gt;""),_xlfn.IFNA(VLOOKUP(UPPER(J28),'Konversi Nilai'!$B$3:$C$28,2,FALSE),""),"")</f>
        <v>B</v>
      </c>
      <c r="G28" s="45" t="s">
        <v>23</v>
      </c>
      <c r="H28" s="45" t="s">
        <v>181</v>
      </c>
      <c r="I28" s="46">
        <v>2</v>
      </c>
      <c r="J28" s="44" t="s">
        <v>169</v>
      </c>
    </row>
    <row r="29" spans="1:10" x14ac:dyDescent="0.25">
      <c r="A29" s="18">
        <v>16</v>
      </c>
      <c r="B29" s="19" t="s">
        <v>58</v>
      </c>
      <c r="C29" s="19" t="s">
        <v>59</v>
      </c>
      <c r="D29" s="27">
        <v>4</v>
      </c>
      <c r="E29" s="18">
        <f t="shared" si="2"/>
        <v>4</v>
      </c>
      <c r="F29" s="18" t="str">
        <f>IF(AND($G29&lt;&gt;"",$H29&lt;&gt;"",$I29&lt;&gt;"",$J29&lt;&gt;""),_xlfn.IFNA(VLOOKUP(UPPER(J29),'Konversi Nilai'!$B$3:$C$28,2,FALSE),""),"")</f>
        <v>A</v>
      </c>
      <c r="G29" s="45" t="s">
        <v>23</v>
      </c>
      <c r="H29" s="45" t="s">
        <v>60</v>
      </c>
      <c r="I29" s="46">
        <v>2</v>
      </c>
      <c r="J29" s="44" t="s">
        <v>25</v>
      </c>
    </row>
    <row r="30" spans="1:10" x14ac:dyDescent="0.25">
      <c r="A30" s="63" t="s">
        <v>42</v>
      </c>
      <c r="B30" s="64"/>
      <c r="C30" s="65"/>
      <c r="D30" s="36">
        <f>SUM(D22:D29)</f>
        <v>18</v>
      </c>
      <c r="E30" s="36">
        <f>SUM(E22:E29)</f>
        <v>18</v>
      </c>
      <c r="F30" s="32">
        <f t="shared" ref="F30" si="3">IF(I30&lt;&gt;"",J30,"")</f>
        <v>0</v>
      </c>
      <c r="G30" s="33"/>
      <c r="H30" s="37"/>
      <c r="I30" s="36">
        <f>SUM(I22:I29)</f>
        <v>21</v>
      </c>
      <c r="J30" s="38"/>
    </row>
    <row r="31" spans="1:10" x14ac:dyDescent="0.25">
      <c r="A31" s="12" t="s">
        <v>61</v>
      </c>
      <c r="B31" s="12"/>
      <c r="C31" s="12"/>
      <c r="D31" s="20"/>
      <c r="E31" s="21"/>
      <c r="F31" s="22"/>
      <c r="G31" s="23"/>
      <c r="H31" s="16"/>
      <c r="I31" s="24"/>
      <c r="J31" s="24"/>
    </row>
    <row r="32" spans="1:10" x14ac:dyDescent="0.25">
      <c r="A32" s="18">
        <v>17</v>
      </c>
      <c r="B32" s="19" t="s">
        <v>62</v>
      </c>
      <c r="C32" s="19" t="s">
        <v>63</v>
      </c>
      <c r="D32" s="27">
        <v>4</v>
      </c>
      <c r="E32" s="18" t="str">
        <f t="shared" ref="E32:E38" si="4">IF(AND($G32&lt;&gt;"",$H32&lt;&gt;"",$I32&lt;&gt;"",$J32&lt;&gt;""),$D32,"")</f>
        <v/>
      </c>
      <c r="F32" s="18" t="str">
        <f>IF(AND($G32&lt;&gt;"",$H32&lt;&gt;"",$I32&lt;&gt;"",$J32&lt;&gt;""),_xlfn.IFNA(VLOOKUP(UPPER(J32),'Konversi Nilai'!$B$3:$C$28,2,FALSE),""),"")</f>
        <v/>
      </c>
      <c r="G32" s="45"/>
      <c r="H32" s="45"/>
      <c r="I32" s="46"/>
      <c r="J32" s="44"/>
    </row>
    <row r="33" spans="1:10" x14ac:dyDescent="0.25">
      <c r="A33" s="18">
        <v>18</v>
      </c>
      <c r="B33" s="19" t="s">
        <v>64</v>
      </c>
      <c r="C33" s="19" t="s">
        <v>65</v>
      </c>
      <c r="D33" s="27">
        <v>2</v>
      </c>
      <c r="E33" s="18">
        <f>IF(AND($G33&lt;&gt;"",$H33&lt;&gt;"",$I33&lt;&gt;"",$J33&lt;&gt;""),$D33,"")</f>
        <v>2</v>
      </c>
      <c r="F33" s="18" t="str">
        <f>IF(AND($G33&lt;&gt;"",$H33&lt;&gt;"",$I33&lt;&gt;"",$J33&lt;&gt;""),_xlfn.IFNA(VLOOKUP(UPPER(J33),'Konversi Nilai'!$B$3:$C$28,2,FALSE),""),"")</f>
        <v>B</v>
      </c>
      <c r="G33" s="45" t="s">
        <v>23</v>
      </c>
      <c r="H33" s="45" t="s">
        <v>196</v>
      </c>
      <c r="I33" s="46">
        <v>3</v>
      </c>
      <c r="J33" s="44" t="s">
        <v>169</v>
      </c>
    </row>
    <row r="34" spans="1:10" x14ac:dyDescent="0.25">
      <c r="A34" s="18">
        <v>19</v>
      </c>
      <c r="B34" s="19" t="s">
        <v>66</v>
      </c>
      <c r="C34" s="19" t="s">
        <v>67</v>
      </c>
      <c r="D34" s="27">
        <v>2</v>
      </c>
      <c r="E34" s="18">
        <f>IF(AND($G34&lt;&gt;"",$H34&lt;&gt;"",$I34&lt;&gt;"",$J34&lt;&gt;""),$D34,"")</f>
        <v>2</v>
      </c>
      <c r="F34" s="18" t="str">
        <f>IF(AND($G34&lt;&gt;"",$H34&lt;&gt;"",$I34&lt;&gt;"",$J34&lt;&gt;""),_xlfn.IFNA(VLOOKUP(UPPER(J34),'Konversi Nilai'!$B$3:$C$28,2,FALSE),""),"")</f>
        <v>C</v>
      </c>
      <c r="G34" s="45" t="s">
        <v>23</v>
      </c>
      <c r="H34" s="45" t="s">
        <v>67</v>
      </c>
      <c r="I34" s="46">
        <v>3</v>
      </c>
      <c r="J34" s="44" t="s">
        <v>171</v>
      </c>
    </row>
    <row r="35" spans="1:10" x14ac:dyDescent="0.25">
      <c r="A35" s="18">
        <v>20</v>
      </c>
      <c r="B35" s="19" t="s">
        <v>68</v>
      </c>
      <c r="C35" s="19" t="s">
        <v>69</v>
      </c>
      <c r="D35" s="27">
        <v>2</v>
      </c>
      <c r="E35" s="18">
        <f>IF(AND($G35&lt;&gt;"",$H35&lt;&gt;"",$I35&lt;&gt;"",$J35&lt;&gt;""),$D35,"")</f>
        <v>2</v>
      </c>
      <c r="F35" s="18" t="str">
        <f>IF(AND($G35&lt;&gt;"",$H35&lt;&gt;"",$I35&lt;&gt;"",$J35&lt;&gt;""),_xlfn.IFNA(VLOOKUP(UPPER(J35),'Konversi Nilai'!$B$3:$C$28,2,FALSE),""),"")</f>
        <v>C</v>
      </c>
      <c r="G35" s="45" t="s">
        <v>23</v>
      </c>
      <c r="H35" s="44" t="s">
        <v>182</v>
      </c>
      <c r="I35" s="47">
        <v>3</v>
      </c>
      <c r="J35" s="44" t="s">
        <v>171</v>
      </c>
    </row>
    <row r="36" spans="1:10" x14ac:dyDescent="0.25">
      <c r="A36" s="18">
        <v>21</v>
      </c>
      <c r="B36" s="19" t="s">
        <v>70</v>
      </c>
      <c r="C36" s="19" t="s">
        <v>71</v>
      </c>
      <c r="D36" s="27">
        <v>4</v>
      </c>
      <c r="E36" s="18" t="str">
        <f t="shared" si="4"/>
        <v/>
      </c>
      <c r="F36" s="18" t="str">
        <f>IF(AND($G36&lt;&gt;"",$H36&lt;&gt;"",$I36&lt;&gt;"",$J36&lt;&gt;""),_xlfn.IFNA(VLOOKUP(UPPER(J36),'Konversi Nilai'!$B$3:$C$28,2,FALSE),""),"")</f>
        <v/>
      </c>
      <c r="G36" s="45"/>
      <c r="H36" s="45"/>
      <c r="I36" s="46"/>
      <c r="J36" s="44"/>
    </row>
    <row r="37" spans="1:10" x14ac:dyDescent="0.25">
      <c r="A37" s="18">
        <v>22</v>
      </c>
      <c r="B37" s="19" t="s">
        <v>72</v>
      </c>
      <c r="C37" s="19" t="s">
        <v>73</v>
      </c>
      <c r="D37" s="27">
        <v>4</v>
      </c>
      <c r="E37" s="18">
        <f t="shared" si="4"/>
        <v>4</v>
      </c>
      <c r="F37" s="18" t="str">
        <f>IF(AND($G37&lt;&gt;"",$H37&lt;&gt;"",$I37&lt;&gt;"",$J37&lt;&gt;""),_xlfn.IFNA(VLOOKUP(UPPER(J37),'Konversi Nilai'!$B$3:$C$28,2,FALSE),""),"")</f>
        <v>B</v>
      </c>
      <c r="G37" s="45" t="s">
        <v>23</v>
      </c>
      <c r="H37" s="45" t="s">
        <v>184</v>
      </c>
      <c r="I37" s="46">
        <v>3</v>
      </c>
      <c r="J37" s="44" t="s">
        <v>169</v>
      </c>
    </row>
    <row r="38" spans="1:10" x14ac:dyDescent="0.25">
      <c r="A38" s="18">
        <v>23</v>
      </c>
      <c r="B38" s="19" t="s">
        <v>74</v>
      </c>
      <c r="C38" s="19" t="s">
        <v>75</v>
      </c>
      <c r="D38" s="27">
        <v>4</v>
      </c>
      <c r="E38" s="18">
        <f t="shared" si="4"/>
        <v>4</v>
      </c>
      <c r="F38" s="18" t="str">
        <f>IF(AND($G38&lt;&gt;"",$H38&lt;&gt;"",$I38&lt;&gt;"",$J38&lt;&gt;""),_xlfn.IFNA(VLOOKUP(UPPER(J38),'Konversi Nilai'!$B$3:$C$28,2,FALSE),""),"")</f>
        <v>C</v>
      </c>
      <c r="G38" s="45" t="s">
        <v>23</v>
      </c>
      <c r="H38" s="45" t="s">
        <v>75</v>
      </c>
      <c r="I38" s="46">
        <v>3</v>
      </c>
      <c r="J38" s="44" t="s">
        <v>171</v>
      </c>
    </row>
    <row r="39" spans="1:10" x14ac:dyDescent="0.25">
      <c r="A39" s="63" t="s">
        <v>42</v>
      </c>
      <c r="B39" s="64"/>
      <c r="C39" s="65"/>
      <c r="D39" s="36">
        <f>SUM(D32:D38)</f>
        <v>22</v>
      </c>
      <c r="E39" s="36">
        <f>SUM(E32:E38)</f>
        <v>14</v>
      </c>
      <c r="F39" s="32"/>
      <c r="G39" s="33"/>
      <c r="H39" s="39"/>
      <c r="I39" s="36">
        <f>SUM(I32:I38)</f>
        <v>15</v>
      </c>
      <c r="J39" s="40"/>
    </row>
    <row r="40" spans="1:10" x14ac:dyDescent="0.25">
      <c r="A40" s="12" t="s">
        <v>76</v>
      </c>
      <c r="B40" s="12"/>
      <c r="C40" s="12"/>
      <c r="D40" s="20"/>
      <c r="E40" s="25"/>
      <c r="F40" s="26"/>
      <c r="G40" s="23"/>
      <c r="H40" s="16"/>
      <c r="I40" s="24"/>
      <c r="J40" s="24"/>
    </row>
    <row r="41" spans="1:10" x14ac:dyDescent="0.25">
      <c r="A41" s="18">
        <v>24</v>
      </c>
      <c r="B41" s="19" t="s">
        <v>77</v>
      </c>
      <c r="C41" s="19" t="s">
        <v>78</v>
      </c>
      <c r="D41" s="27">
        <v>4</v>
      </c>
      <c r="E41" s="18" t="str">
        <f t="shared" ref="E41:E47" si="5">IF(AND($G41&lt;&gt;"",$H41&lt;&gt;"",$I41&lt;&gt;"",$J41&lt;&gt;""),$D41,"")</f>
        <v/>
      </c>
      <c r="F41" s="18" t="str">
        <f>IF(AND($G41&lt;&gt;"",$H41&lt;&gt;"",$I41&lt;&gt;"",$J41&lt;&gt;""),_xlfn.IFNA(VLOOKUP(UPPER(J41),'Konversi Nilai'!$B$3:$C$28,2,FALSE),""),"")</f>
        <v/>
      </c>
      <c r="G41" s="45"/>
      <c r="H41" s="45"/>
      <c r="I41" s="46"/>
      <c r="J41" s="44"/>
    </row>
    <row r="42" spans="1:10" x14ac:dyDescent="0.25">
      <c r="A42" s="18">
        <v>25</v>
      </c>
      <c r="B42" s="19" t="s">
        <v>79</v>
      </c>
      <c r="C42" s="19" t="s">
        <v>80</v>
      </c>
      <c r="D42" s="27">
        <v>2</v>
      </c>
      <c r="E42" s="18">
        <f t="shared" si="5"/>
        <v>2</v>
      </c>
      <c r="F42" s="18" t="str">
        <f>IF(AND($G42&lt;&gt;"",$H42&lt;&gt;"",$I42&lt;&gt;"",$J42&lt;&gt;""),_xlfn.IFNA(VLOOKUP(UPPER(J42),'Konversi Nilai'!$B$3:$C$28,2,FALSE),""),"")</f>
        <v>B</v>
      </c>
      <c r="G42" s="45" t="s">
        <v>23</v>
      </c>
      <c r="H42" s="45" t="s">
        <v>188</v>
      </c>
      <c r="I42" s="46">
        <v>3</v>
      </c>
      <c r="J42" s="44" t="s">
        <v>169</v>
      </c>
    </row>
    <row r="43" spans="1:10" x14ac:dyDescent="0.25">
      <c r="A43" s="18">
        <v>26</v>
      </c>
      <c r="B43" s="19" t="s">
        <v>81</v>
      </c>
      <c r="C43" s="19" t="s">
        <v>82</v>
      </c>
      <c r="D43" s="27">
        <v>2</v>
      </c>
      <c r="E43" s="18">
        <f t="shared" si="5"/>
        <v>2</v>
      </c>
      <c r="F43" s="18" t="str">
        <f>IF(AND($G43&lt;&gt;"",$H43&lt;&gt;"",$I43&lt;&gt;"",$J43&lt;&gt;""),_xlfn.IFNA(VLOOKUP(UPPER(J43),'Konversi Nilai'!$B$3:$C$28,2,FALSE),""),"")</f>
        <v>B</v>
      </c>
      <c r="G43" s="45" t="s">
        <v>23</v>
      </c>
      <c r="H43" s="45" t="s">
        <v>183</v>
      </c>
      <c r="I43" s="46">
        <v>3</v>
      </c>
      <c r="J43" s="44" t="s">
        <v>169</v>
      </c>
    </row>
    <row r="44" spans="1:10" x14ac:dyDescent="0.25">
      <c r="A44" s="18">
        <v>27</v>
      </c>
      <c r="B44" s="19" t="s">
        <v>83</v>
      </c>
      <c r="C44" s="19" t="s">
        <v>84</v>
      </c>
      <c r="D44" s="27">
        <v>4</v>
      </c>
      <c r="E44" s="18" t="str">
        <f t="shared" si="5"/>
        <v/>
      </c>
      <c r="F44" s="18" t="str">
        <f>IF(AND($G44&lt;&gt;"",$H44&lt;&gt;"",$I44&lt;&gt;"",$J44&lt;&gt;""),_xlfn.IFNA(VLOOKUP(UPPER(J44),'Konversi Nilai'!$B$3:$C$28,2,FALSE),""),"")</f>
        <v/>
      </c>
      <c r="G44" s="44"/>
      <c r="H44" s="44"/>
      <c r="I44" s="47"/>
      <c r="J44" s="44"/>
    </row>
    <row r="45" spans="1:10" x14ac:dyDescent="0.25">
      <c r="A45" s="18">
        <v>28</v>
      </c>
      <c r="B45" s="19" t="s">
        <v>85</v>
      </c>
      <c r="C45" s="19" t="s">
        <v>86</v>
      </c>
      <c r="D45" s="27">
        <v>4</v>
      </c>
      <c r="E45" s="18">
        <f t="shared" si="5"/>
        <v>4</v>
      </c>
      <c r="F45" s="18" t="str">
        <f>IF(AND($G45&lt;&gt;"",$H45&lt;&gt;"",$I45&lt;&gt;"",$J45&lt;&gt;""),_xlfn.IFNA(VLOOKUP(UPPER(J45),'Konversi Nilai'!$B$3:$C$28,2,FALSE),""),"")</f>
        <v>B</v>
      </c>
      <c r="G45" s="45" t="s">
        <v>23</v>
      </c>
      <c r="H45" s="45" t="s">
        <v>86</v>
      </c>
      <c r="I45" s="46">
        <v>3</v>
      </c>
      <c r="J45" s="44" t="s">
        <v>169</v>
      </c>
    </row>
    <row r="46" spans="1:10" x14ac:dyDescent="0.25">
      <c r="A46" s="18">
        <v>29</v>
      </c>
      <c r="B46" s="19" t="s">
        <v>87</v>
      </c>
      <c r="C46" s="19" t="s">
        <v>88</v>
      </c>
      <c r="D46" s="27">
        <v>4</v>
      </c>
      <c r="E46" s="18" t="str">
        <f t="shared" si="5"/>
        <v/>
      </c>
      <c r="F46" s="18" t="str">
        <f>IF(AND($G46&lt;&gt;"",$H46&lt;&gt;"",$I46&lt;&gt;"",$J46&lt;&gt;""),_xlfn.IFNA(VLOOKUP(UPPER(J46),'Konversi Nilai'!$B$3:$C$28,2,FALSE),""),"")</f>
        <v/>
      </c>
      <c r="G46" s="44"/>
      <c r="H46" s="44"/>
      <c r="I46" s="47"/>
      <c r="J46" s="44"/>
    </row>
    <row r="47" spans="1:10" x14ac:dyDescent="0.25">
      <c r="A47" s="18">
        <v>30</v>
      </c>
      <c r="B47" s="19" t="s">
        <v>89</v>
      </c>
      <c r="C47" s="19" t="s">
        <v>90</v>
      </c>
      <c r="D47" s="27">
        <v>2</v>
      </c>
      <c r="E47" s="18" t="str">
        <f t="shared" si="5"/>
        <v/>
      </c>
      <c r="F47" s="18" t="str">
        <f>IF(AND($G47&lt;&gt;"",$H47&lt;&gt;"",$I47&lt;&gt;"",$J47&lt;&gt;""),_xlfn.IFNA(VLOOKUP(UPPER(J47),'Konversi Nilai'!$B$3:$C$28,2,FALSE),""),"")</f>
        <v/>
      </c>
      <c r="G47" s="45"/>
      <c r="H47" s="45"/>
      <c r="I47" s="46"/>
      <c r="J47" s="44"/>
    </row>
    <row r="48" spans="1:10" x14ac:dyDescent="0.25">
      <c r="A48" s="63" t="s">
        <v>42</v>
      </c>
      <c r="B48" s="64"/>
      <c r="C48" s="65"/>
      <c r="D48" s="41">
        <f>SUM(D41:D47)</f>
        <v>22</v>
      </c>
      <c r="E48" s="41">
        <f>SUM(E41:E47)</f>
        <v>8</v>
      </c>
      <c r="F48" s="32"/>
      <c r="G48" s="42"/>
      <c r="H48" s="43"/>
      <c r="I48" s="41">
        <f>SUM(I41:I47)</f>
        <v>9</v>
      </c>
      <c r="J48" s="40"/>
    </row>
    <row r="49" spans="1:10" x14ac:dyDescent="0.25">
      <c r="A49" s="12" t="s">
        <v>91</v>
      </c>
      <c r="B49" s="12"/>
      <c r="C49" s="12"/>
      <c r="D49" s="20"/>
      <c r="E49" s="25"/>
      <c r="F49" s="26"/>
      <c r="G49" s="23"/>
      <c r="H49" s="16"/>
      <c r="I49" s="24"/>
      <c r="J49" s="24"/>
    </row>
    <row r="50" spans="1:10" x14ac:dyDescent="0.25">
      <c r="A50" s="18">
        <v>31</v>
      </c>
      <c r="B50" s="19" t="s">
        <v>92</v>
      </c>
      <c r="C50" s="19" t="s">
        <v>93</v>
      </c>
      <c r="D50" s="27">
        <v>2</v>
      </c>
      <c r="E50" s="18">
        <f t="shared" ref="E50:E54" si="6">IF(AND($G50&lt;&gt;"",$H50&lt;&gt;"",$I50&lt;&gt;"",$J50&lt;&gt;""),$D50,"")</f>
        <v>2</v>
      </c>
      <c r="F50" s="18" t="str">
        <f>IF(AND($G50&lt;&gt;"",$H50&lt;&gt;"",$I50&lt;&gt;"",$J50&lt;&gt;""),_xlfn.IFNA(VLOOKUP(UPPER(J50),'Konversi Nilai'!$B$3:$C$28,2,FALSE),""),"")</f>
        <v>C</v>
      </c>
      <c r="G50" s="45" t="s">
        <v>23</v>
      </c>
      <c r="H50" s="45" t="s">
        <v>201</v>
      </c>
      <c r="I50" s="46">
        <v>3</v>
      </c>
      <c r="J50" s="44" t="s">
        <v>171</v>
      </c>
    </row>
    <row r="51" spans="1:10" x14ac:dyDescent="0.25">
      <c r="A51" s="18">
        <v>32</v>
      </c>
      <c r="B51" s="19" t="s">
        <v>94</v>
      </c>
      <c r="C51" s="19" t="s">
        <v>95</v>
      </c>
      <c r="D51" s="27">
        <v>4</v>
      </c>
      <c r="E51" s="18" t="str">
        <f t="shared" si="6"/>
        <v/>
      </c>
      <c r="F51" s="18" t="str">
        <f>IF(AND($G51&lt;&gt;"",$H51&lt;&gt;"",$I51&lt;&gt;"",$J51&lt;&gt;""),_xlfn.IFNA(VLOOKUP(UPPER(J51),'Konversi Nilai'!$B$3:$C$28,2,FALSE),""),"")</f>
        <v/>
      </c>
      <c r="G51" s="44"/>
      <c r="H51" s="44"/>
      <c r="I51" s="47"/>
      <c r="J51" s="44"/>
    </row>
    <row r="52" spans="1:10" x14ac:dyDescent="0.25">
      <c r="A52" s="18">
        <v>33</v>
      </c>
      <c r="B52" s="19" t="s">
        <v>96</v>
      </c>
      <c r="C52" s="19" t="s">
        <v>97</v>
      </c>
      <c r="D52" s="27">
        <v>2</v>
      </c>
      <c r="E52" s="18">
        <f t="shared" si="6"/>
        <v>2</v>
      </c>
      <c r="F52" s="18" t="str">
        <f>IF(AND($G52&lt;&gt;"",$H52&lt;&gt;"",$I52&lt;&gt;"",$J52&lt;&gt;""),_xlfn.IFNA(VLOOKUP(UPPER(J52),'Konversi Nilai'!$B$3:$C$28,2,FALSE),""),"")</f>
        <v>B</v>
      </c>
      <c r="G52" s="44" t="s">
        <v>23</v>
      </c>
      <c r="H52" s="44" t="s">
        <v>189</v>
      </c>
      <c r="I52" s="47">
        <v>3</v>
      </c>
      <c r="J52" s="44" t="s">
        <v>169</v>
      </c>
    </row>
    <row r="53" spans="1:10" x14ac:dyDescent="0.25">
      <c r="A53" s="18">
        <v>34</v>
      </c>
      <c r="B53" s="19" t="s">
        <v>98</v>
      </c>
      <c r="C53" s="19" t="s">
        <v>99</v>
      </c>
      <c r="D53" s="27">
        <v>2</v>
      </c>
      <c r="E53" s="18" t="str">
        <f>IF(AND($G53&lt;&gt;"",$H53&lt;&gt;"",$I53&lt;&gt;"",$J53&lt;&gt;""),$D53,"")</f>
        <v/>
      </c>
      <c r="F53" s="18" t="str">
        <f>IF(AND($G53&lt;&gt;"",$H53&lt;&gt;"",$I53&lt;&gt;"",$J53&lt;&gt;""),_xlfn.IFNA(VLOOKUP(UPPER(J53),'Konversi Nilai'!$B$3:$C$28,2,FALSE),""),"")</f>
        <v/>
      </c>
      <c r="G53" s="45"/>
      <c r="H53" s="45"/>
      <c r="I53" s="46"/>
      <c r="J53" s="44"/>
    </row>
    <row r="54" spans="1:10" x14ac:dyDescent="0.25">
      <c r="A54" s="18">
        <v>35</v>
      </c>
      <c r="B54" s="19" t="s">
        <v>100</v>
      </c>
      <c r="C54" s="19" t="s">
        <v>101</v>
      </c>
      <c r="D54" s="27">
        <v>4</v>
      </c>
      <c r="E54" s="18" t="str">
        <f t="shared" si="6"/>
        <v/>
      </c>
      <c r="F54" s="18" t="str">
        <f>IF(AND($G54&lt;&gt;"",$H54&lt;&gt;"",$I54&lt;&gt;"",$J54&lt;&gt;""),_xlfn.IFNA(VLOOKUP(UPPER(J54),'Konversi Nilai'!$B$3:$C$28,2,FALSE),""),"")</f>
        <v/>
      </c>
      <c r="G54" s="44"/>
      <c r="H54" s="44"/>
      <c r="I54" s="44"/>
      <c r="J54" s="44"/>
    </row>
    <row r="55" spans="1:10" x14ac:dyDescent="0.25">
      <c r="A55" s="63" t="s">
        <v>42</v>
      </c>
      <c r="B55" s="64"/>
      <c r="C55" s="65"/>
      <c r="D55" s="41">
        <f>SUM(D50:D54)</f>
        <v>14</v>
      </c>
      <c r="E55" s="41">
        <f>SUM(E50:E54)</f>
        <v>4</v>
      </c>
      <c r="F55" s="32"/>
      <c r="G55" s="42"/>
      <c r="H55" s="43"/>
      <c r="I55" s="41">
        <f>SUM(I50:I54)</f>
        <v>6</v>
      </c>
      <c r="J55" s="40"/>
    </row>
    <row r="56" spans="1:10" x14ac:dyDescent="0.25">
      <c r="A56" s="12" t="s">
        <v>102</v>
      </c>
      <c r="B56" s="12"/>
      <c r="C56" s="12"/>
      <c r="D56" s="20"/>
      <c r="E56" s="25"/>
      <c r="F56" s="26"/>
      <c r="G56" s="23"/>
      <c r="H56" s="16"/>
      <c r="I56" s="24"/>
      <c r="J56" s="24"/>
    </row>
    <row r="57" spans="1:10" x14ac:dyDescent="0.25">
      <c r="A57" s="18">
        <v>36</v>
      </c>
      <c r="B57" s="19" t="s">
        <v>103</v>
      </c>
      <c r="C57" s="19" t="s">
        <v>104</v>
      </c>
      <c r="D57" s="27">
        <v>2</v>
      </c>
      <c r="E57" s="18" t="str">
        <f t="shared" ref="E57:E62" si="7">IF(AND($G57&lt;&gt;"",$H57&lt;&gt;"",$I57&lt;&gt;"",$J57&lt;&gt;""),$D57,"")</f>
        <v/>
      </c>
      <c r="F57" s="18" t="str">
        <f>IF(AND($G57&lt;&gt;"",$H57&lt;&gt;"",$I57&lt;&gt;"",$J57&lt;&gt;""),_xlfn.IFNA(VLOOKUP(UPPER(J57),'Konversi Nilai'!$B$3:$C$28,2,FALSE),""),"")</f>
        <v/>
      </c>
      <c r="G57" s="44"/>
      <c r="H57" s="44"/>
      <c r="I57" s="47"/>
      <c r="J57" s="44"/>
    </row>
    <row r="58" spans="1:10" x14ac:dyDescent="0.25">
      <c r="A58" s="18">
        <v>37</v>
      </c>
      <c r="B58" s="19" t="s">
        <v>105</v>
      </c>
      <c r="C58" s="19" t="s">
        <v>106</v>
      </c>
      <c r="D58" s="27">
        <v>4</v>
      </c>
      <c r="E58" s="18" t="str">
        <f t="shared" si="7"/>
        <v/>
      </c>
      <c r="F58" s="18" t="str">
        <f>IF(AND($G58&lt;&gt;"",$H58&lt;&gt;"",$I58&lt;&gt;"",$J58&lt;&gt;""),_xlfn.IFNA(VLOOKUP(UPPER(J58),'Konversi Nilai'!$B$3:$C$28,2,FALSE),""),"")</f>
        <v/>
      </c>
      <c r="G58" s="44"/>
      <c r="H58" s="44"/>
      <c r="I58" s="47"/>
      <c r="J58" s="44"/>
    </row>
    <row r="59" spans="1:10" x14ac:dyDescent="0.25">
      <c r="A59" s="18">
        <v>38</v>
      </c>
      <c r="B59" s="19" t="s">
        <v>107</v>
      </c>
      <c r="C59" s="19" t="s">
        <v>108</v>
      </c>
      <c r="D59" s="27">
        <v>2</v>
      </c>
      <c r="E59" s="18" t="str">
        <f t="shared" si="7"/>
        <v/>
      </c>
      <c r="F59" s="18" t="str">
        <f>IF(AND($G59&lt;&gt;"",$H59&lt;&gt;"",$I59&lt;&gt;"",$J59&lt;&gt;""),_xlfn.IFNA(VLOOKUP(UPPER(J59),'Konversi Nilai'!$B$3:$C$28,2,FALSE),""),"")</f>
        <v/>
      </c>
      <c r="G59" s="44"/>
      <c r="H59" s="44"/>
      <c r="I59" s="47"/>
      <c r="J59" s="44"/>
    </row>
    <row r="60" spans="1:10" x14ac:dyDescent="0.25">
      <c r="A60" s="18">
        <v>39</v>
      </c>
      <c r="B60" s="19" t="s">
        <v>109</v>
      </c>
      <c r="C60" s="19" t="s">
        <v>110</v>
      </c>
      <c r="D60" s="27">
        <v>2</v>
      </c>
      <c r="E60" s="18">
        <f t="shared" si="7"/>
        <v>2</v>
      </c>
      <c r="F60" s="18" t="str">
        <f>IF(AND($G60&lt;&gt;"",$H60&lt;&gt;"",$I60&lt;&gt;"",$J60&lt;&gt;""),_xlfn.IFNA(VLOOKUP(UPPER(J60),'Konversi Nilai'!$B$3:$C$28,2,FALSE),""),"")</f>
        <v>C</v>
      </c>
      <c r="G60" s="45" t="s">
        <v>23</v>
      </c>
      <c r="H60" s="45" t="s">
        <v>193</v>
      </c>
      <c r="I60" s="46">
        <v>3</v>
      </c>
      <c r="J60" s="44" t="s">
        <v>171</v>
      </c>
    </row>
    <row r="61" spans="1:10" x14ac:dyDescent="0.25">
      <c r="A61" s="18">
        <v>40</v>
      </c>
      <c r="B61" s="19" t="s">
        <v>111</v>
      </c>
      <c r="C61" s="19" t="s">
        <v>112</v>
      </c>
      <c r="D61" s="27">
        <v>2</v>
      </c>
      <c r="E61" s="18" t="str">
        <f t="shared" si="7"/>
        <v/>
      </c>
      <c r="F61" s="18" t="str">
        <f>IF(AND($G61&lt;&gt;"",$H61&lt;&gt;"",$I61&lt;&gt;"",$J61&lt;&gt;""),_xlfn.IFNA(VLOOKUP(UPPER(J61),'Konversi Nilai'!$B$3:$C$28,2,FALSE),""),"")</f>
        <v/>
      </c>
      <c r="G61" s="45"/>
      <c r="H61" s="45"/>
      <c r="I61" s="46"/>
      <c r="J61" s="44"/>
    </row>
    <row r="62" spans="1:10" x14ac:dyDescent="0.25">
      <c r="A62" s="18">
        <v>41</v>
      </c>
      <c r="B62" s="19" t="s">
        <v>113</v>
      </c>
      <c r="C62" s="19" t="s">
        <v>114</v>
      </c>
      <c r="D62" s="27">
        <v>2</v>
      </c>
      <c r="E62" s="18" t="str">
        <f t="shared" si="7"/>
        <v/>
      </c>
      <c r="F62" s="18" t="str">
        <f>IF(AND($G62&lt;&gt;"",$H62&lt;&gt;"",$I62&lt;&gt;"",$J62&lt;&gt;""),_xlfn.IFNA(VLOOKUP(UPPER(J62),'Konversi Nilai'!$B$3:$C$28,2,FALSE),""),"")</f>
        <v/>
      </c>
      <c r="G62" s="45"/>
      <c r="H62" s="45"/>
      <c r="I62" s="46"/>
      <c r="J62" s="44"/>
    </row>
    <row r="63" spans="1:10" x14ac:dyDescent="0.25">
      <c r="A63" s="63" t="s">
        <v>42</v>
      </c>
      <c r="B63" s="64"/>
      <c r="C63" s="65"/>
      <c r="D63" s="41">
        <f>SUM(D57:D62)</f>
        <v>14</v>
      </c>
      <c r="E63" s="41">
        <f>SUM(E57:E62)</f>
        <v>2</v>
      </c>
      <c r="F63" s="32"/>
      <c r="G63" s="42"/>
      <c r="H63" s="43"/>
      <c r="I63" s="41">
        <f>SUM(I57:I62)</f>
        <v>3</v>
      </c>
      <c r="J63" s="40"/>
    </row>
    <row r="64" spans="1:10" x14ac:dyDescent="0.25">
      <c r="A64" s="12" t="s">
        <v>115</v>
      </c>
      <c r="B64" s="12"/>
      <c r="C64" s="12"/>
      <c r="D64" s="20"/>
      <c r="E64" s="25"/>
      <c r="F64" s="26"/>
      <c r="G64" s="23"/>
      <c r="H64" s="16"/>
      <c r="I64" s="24"/>
      <c r="J64" s="24"/>
    </row>
    <row r="65" spans="1:10" x14ac:dyDescent="0.25">
      <c r="A65" s="18">
        <v>42</v>
      </c>
      <c r="B65" s="19" t="s">
        <v>116</v>
      </c>
      <c r="C65" s="19" t="s">
        <v>117</v>
      </c>
      <c r="D65" s="27">
        <v>2</v>
      </c>
      <c r="E65" s="18" t="str">
        <f t="shared" ref="E65:E87" si="8">IF(AND($G65&lt;&gt;"",$H65&lt;&gt;"",$I65&lt;&gt;"",$J65&lt;&gt;""),$D65,"")</f>
        <v/>
      </c>
      <c r="F65" s="18" t="str">
        <f>IF(AND($G65&lt;&gt;"",$H65&lt;&gt;"",$I65&lt;&gt;"",$J65&lt;&gt;""),_xlfn.IFNA(VLOOKUP(UPPER(J65),'Konversi Nilai'!$B$3:$C$28,2,FALSE),""),"")</f>
        <v/>
      </c>
      <c r="G65" s="45"/>
      <c r="H65" s="45"/>
      <c r="I65" s="46"/>
      <c r="J65" s="44"/>
    </row>
    <row r="66" spans="1:10" x14ac:dyDescent="0.25">
      <c r="A66" s="18">
        <v>43</v>
      </c>
      <c r="B66" s="19" t="s">
        <v>118</v>
      </c>
      <c r="C66" s="19" t="s">
        <v>119</v>
      </c>
      <c r="D66" s="27">
        <v>4</v>
      </c>
      <c r="E66" s="18">
        <f t="shared" si="8"/>
        <v>4</v>
      </c>
      <c r="F66" s="18" t="str">
        <f>IF(AND($G66&lt;&gt;"",$H66&lt;&gt;"",$I66&lt;&gt;"",$J66&lt;&gt;""),_xlfn.IFNA(VLOOKUP(UPPER(J66),'Konversi Nilai'!$B$3:$C$28,2,FALSE),""),"")</f>
        <v>C</v>
      </c>
      <c r="G66" s="45" t="s">
        <v>23</v>
      </c>
      <c r="H66" s="45" t="s">
        <v>186</v>
      </c>
      <c r="I66" s="46">
        <v>3</v>
      </c>
      <c r="J66" s="44" t="s">
        <v>171</v>
      </c>
    </row>
    <row r="67" spans="1:10" x14ac:dyDescent="0.25">
      <c r="A67" s="18">
        <v>44</v>
      </c>
      <c r="B67" s="19" t="s">
        <v>120</v>
      </c>
      <c r="C67" s="19" t="s">
        <v>121</v>
      </c>
      <c r="D67" s="27">
        <v>2</v>
      </c>
      <c r="E67" s="18">
        <f t="shared" si="8"/>
        <v>2</v>
      </c>
      <c r="F67" s="18" t="str">
        <f>IF(AND($G67&lt;&gt;"",$H67&lt;&gt;"",$I67&lt;&gt;"",$J67&lt;&gt;""),_xlfn.IFNA(VLOOKUP(UPPER(J67),'Konversi Nilai'!$B$3:$C$28,2,FALSE),""),"")</f>
        <v>B</v>
      </c>
      <c r="G67" s="44" t="s">
        <v>23</v>
      </c>
      <c r="H67" s="44" t="s">
        <v>187</v>
      </c>
      <c r="I67" s="47">
        <v>3</v>
      </c>
      <c r="J67" s="44" t="s">
        <v>169</v>
      </c>
    </row>
    <row r="68" spans="1:10" x14ac:dyDescent="0.25">
      <c r="A68" s="18">
        <v>45</v>
      </c>
      <c r="B68" s="19" t="s">
        <v>122</v>
      </c>
      <c r="C68" s="19" t="s">
        <v>123</v>
      </c>
      <c r="D68" s="27">
        <v>2</v>
      </c>
      <c r="E68" s="18">
        <f t="shared" si="8"/>
        <v>2</v>
      </c>
      <c r="F68" s="18" t="str">
        <f>IF(AND($G68&lt;&gt;"",$H68&lt;&gt;"",$I68&lt;&gt;"",$J68&lt;&gt;""),_xlfn.IFNA(VLOOKUP(UPPER(J68),'Konversi Nilai'!$B$3:$C$28,2,FALSE),""),"")</f>
        <v>B</v>
      </c>
      <c r="G68" s="45" t="s">
        <v>23</v>
      </c>
      <c r="H68" s="45" t="s">
        <v>164</v>
      </c>
      <c r="I68" s="46">
        <v>4</v>
      </c>
      <c r="J68" s="44" t="s">
        <v>169</v>
      </c>
    </row>
    <row r="69" spans="1:10" x14ac:dyDescent="0.25">
      <c r="A69" s="18">
        <v>46</v>
      </c>
      <c r="B69" s="19" t="s">
        <v>124</v>
      </c>
      <c r="C69" s="19" t="s">
        <v>125</v>
      </c>
      <c r="D69" s="27">
        <v>2</v>
      </c>
      <c r="E69" s="18" t="str">
        <f t="shared" si="8"/>
        <v/>
      </c>
      <c r="F69" s="18" t="str">
        <f>IF(AND($G69&lt;&gt;"",$H69&lt;&gt;"",$I69&lt;&gt;"",$J69&lt;&gt;""),_xlfn.IFNA(VLOOKUP(UPPER(J69),'Konversi Nilai'!$B$3:$C$28,2,FALSE),""),"")</f>
        <v/>
      </c>
      <c r="G69" s="45"/>
      <c r="H69" s="45"/>
      <c r="I69" s="46"/>
      <c r="J69" s="44"/>
    </row>
    <row r="70" spans="1:10" x14ac:dyDescent="0.25">
      <c r="A70" s="18">
        <v>47</v>
      </c>
      <c r="B70" s="19" t="s">
        <v>126</v>
      </c>
      <c r="C70" s="19" t="s">
        <v>127</v>
      </c>
      <c r="D70" s="27">
        <v>4</v>
      </c>
      <c r="E70" s="18" t="str">
        <f t="shared" si="8"/>
        <v/>
      </c>
      <c r="F70" s="18" t="str">
        <f>IF(AND($G70&lt;&gt;"",$H70&lt;&gt;"",$I70&lt;&gt;"",$J70&lt;&gt;""),_xlfn.IFNA(VLOOKUP(UPPER(J70),'Konversi Nilai'!$B$3:$C$28,2,FALSE),""),"")</f>
        <v/>
      </c>
      <c r="G70" s="44"/>
      <c r="H70" s="44"/>
      <c r="I70" s="47"/>
      <c r="J70" s="44"/>
    </row>
    <row r="71" spans="1:10" x14ac:dyDescent="0.25">
      <c r="A71" s="18">
        <v>48</v>
      </c>
      <c r="B71" s="19" t="s">
        <v>128</v>
      </c>
      <c r="C71" s="19" t="s">
        <v>129</v>
      </c>
      <c r="D71" s="27">
        <v>4</v>
      </c>
      <c r="E71" s="18" t="str">
        <f t="shared" si="8"/>
        <v/>
      </c>
      <c r="F71" s="18" t="str">
        <f>IF(AND($G71&lt;&gt;"",$H71&lt;&gt;"",$I71&lt;&gt;"",$J71&lt;&gt;""),_xlfn.IFNA(VLOOKUP(UPPER(J71),'Konversi Nilai'!$B$3:$C$28,2,FALSE),""),"")</f>
        <v/>
      </c>
      <c r="G71" s="44"/>
      <c r="H71" s="44"/>
      <c r="I71" s="47"/>
      <c r="J71" s="44"/>
    </row>
    <row r="72" spans="1:10" x14ac:dyDescent="0.25">
      <c r="A72" s="18">
        <v>49</v>
      </c>
      <c r="B72" s="19" t="s">
        <v>130</v>
      </c>
      <c r="C72" s="19" t="s">
        <v>131</v>
      </c>
      <c r="D72" s="27">
        <v>4</v>
      </c>
      <c r="E72" s="18" t="str">
        <f t="shared" si="8"/>
        <v/>
      </c>
      <c r="F72" s="18" t="str">
        <f>IF(AND($G72&lt;&gt;"",$H72&lt;&gt;"",$I72&lt;&gt;"",$J72&lt;&gt;""),_xlfn.IFNA(VLOOKUP(UPPER(J72),'Konversi Nilai'!$B$3:$C$28,2,FALSE),""),"")</f>
        <v/>
      </c>
      <c r="G72" s="44"/>
      <c r="H72" s="44"/>
      <c r="I72" s="47"/>
      <c r="J72" s="44"/>
    </row>
    <row r="73" spans="1:10" x14ac:dyDescent="0.25">
      <c r="A73" s="18">
        <v>50</v>
      </c>
      <c r="B73" s="19" t="s">
        <v>132</v>
      </c>
      <c r="C73" s="19" t="s">
        <v>133</v>
      </c>
      <c r="D73" s="27">
        <v>4</v>
      </c>
      <c r="E73" s="18" t="str">
        <f t="shared" si="8"/>
        <v/>
      </c>
      <c r="F73" s="18" t="str">
        <f>IF(AND($G73&lt;&gt;"",$H73&lt;&gt;"",$I73&lt;&gt;"",$J73&lt;&gt;""),_xlfn.IFNA(VLOOKUP(UPPER(J73),'Konversi Nilai'!$B$3:$C$28,2,FALSE),""),"")</f>
        <v/>
      </c>
      <c r="G73" s="44"/>
      <c r="H73" s="44"/>
      <c r="I73" s="47"/>
      <c r="J73" s="44"/>
    </row>
    <row r="74" spans="1:10" x14ac:dyDescent="0.25">
      <c r="A74" s="18">
        <v>51</v>
      </c>
      <c r="B74" s="19" t="s">
        <v>134</v>
      </c>
      <c r="C74" s="19" t="s">
        <v>135</v>
      </c>
      <c r="D74" s="27">
        <v>4</v>
      </c>
      <c r="E74" s="18" t="str">
        <f t="shared" si="8"/>
        <v/>
      </c>
      <c r="F74" s="18" t="str">
        <f>IF(AND($G74&lt;&gt;"",$H74&lt;&gt;"",$I74&lt;&gt;"",$J74&lt;&gt;""),_xlfn.IFNA(VLOOKUP(UPPER(J74),'Konversi Nilai'!$B$3:$C$28,2,FALSE),""),"")</f>
        <v/>
      </c>
      <c r="G74" s="45"/>
      <c r="H74" s="45"/>
      <c r="I74" s="46"/>
      <c r="J74" s="44"/>
    </row>
    <row r="75" spans="1:10" x14ac:dyDescent="0.25">
      <c r="A75" s="18">
        <v>52</v>
      </c>
      <c r="B75" s="19" t="s">
        <v>136</v>
      </c>
      <c r="C75" s="19" t="s">
        <v>137</v>
      </c>
      <c r="D75" s="27">
        <v>4</v>
      </c>
      <c r="E75" s="18" t="str">
        <f t="shared" si="8"/>
        <v/>
      </c>
      <c r="F75" s="18" t="str">
        <f>IF(AND($G75&lt;&gt;"",$H75&lt;&gt;"",$I75&lt;&gt;"",$J75&lt;&gt;""),_xlfn.IFNA(VLOOKUP(UPPER(J75),'Konversi Nilai'!$B$3:$C$28,2,FALSE),""),"")</f>
        <v/>
      </c>
      <c r="G75" s="44"/>
      <c r="H75" s="44"/>
      <c r="I75" s="47"/>
      <c r="J75" s="44"/>
    </row>
    <row r="76" spans="1:10" x14ac:dyDescent="0.25">
      <c r="A76" s="18">
        <v>53</v>
      </c>
      <c r="B76" s="19" t="s">
        <v>138</v>
      </c>
      <c r="C76" s="19" t="s">
        <v>139</v>
      </c>
      <c r="D76" s="27">
        <v>4</v>
      </c>
      <c r="E76" s="18" t="str">
        <f t="shared" si="8"/>
        <v/>
      </c>
      <c r="F76" s="18" t="str">
        <f>IF(AND($G76&lt;&gt;"",$H76&lt;&gt;"",$I76&lt;&gt;"",$J76&lt;&gt;""),_xlfn.IFNA(VLOOKUP(UPPER(J76),'Konversi Nilai'!$B$3:$C$28,2,FALSE),""),"")</f>
        <v/>
      </c>
      <c r="G76" s="44"/>
      <c r="H76" s="44"/>
      <c r="I76" s="47"/>
      <c r="J76" s="44"/>
    </row>
    <row r="77" spans="1:10" x14ac:dyDescent="0.25">
      <c r="A77" s="18">
        <v>54</v>
      </c>
      <c r="B77" s="19" t="s">
        <v>140</v>
      </c>
      <c r="C77" s="19" t="s">
        <v>141</v>
      </c>
      <c r="D77" s="27">
        <v>4</v>
      </c>
      <c r="E77" s="18" t="str">
        <f t="shared" si="8"/>
        <v/>
      </c>
      <c r="F77" s="18" t="str">
        <f>IF(AND($G77&lt;&gt;"",$H77&lt;&gt;"",$I77&lt;&gt;"",$J77&lt;&gt;""),_xlfn.IFNA(VLOOKUP(UPPER(J77),'Konversi Nilai'!$B$3:$C$28,2,FALSE),""),"")</f>
        <v/>
      </c>
      <c r="G77" s="45"/>
      <c r="H77" s="45"/>
      <c r="I77" s="46"/>
      <c r="J77" s="44"/>
    </row>
    <row r="78" spans="1:10" x14ac:dyDescent="0.25">
      <c r="A78" s="18">
        <v>55</v>
      </c>
      <c r="B78" s="19" t="s">
        <v>142</v>
      </c>
      <c r="C78" s="19" t="s">
        <v>143</v>
      </c>
      <c r="D78" s="27">
        <v>4</v>
      </c>
      <c r="E78" s="18" t="str">
        <f t="shared" si="8"/>
        <v/>
      </c>
      <c r="F78" s="18" t="str">
        <f>IF(AND($G78&lt;&gt;"",$H78&lt;&gt;"",$I78&lt;&gt;"",$J78&lt;&gt;""),_xlfn.IFNA(VLOOKUP(UPPER(J78),'Konversi Nilai'!$B$3:$C$28,2,FALSE),""),"")</f>
        <v/>
      </c>
      <c r="G78" s="44"/>
      <c r="H78" s="44"/>
      <c r="I78" s="47"/>
      <c r="J78" s="44"/>
    </row>
    <row r="79" spans="1:10" x14ac:dyDescent="0.25">
      <c r="A79" s="18">
        <v>56</v>
      </c>
      <c r="B79" s="19" t="s">
        <v>144</v>
      </c>
      <c r="C79" s="19" t="s">
        <v>145</v>
      </c>
      <c r="D79" s="27">
        <v>4</v>
      </c>
      <c r="E79" s="18" t="str">
        <f t="shared" si="8"/>
        <v/>
      </c>
      <c r="F79" s="18" t="str">
        <f>IF(AND($G79&lt;&gt;"",$H79&lt;&gt;"",$I79&lt;&gt;"",$J79&lt;&gt;""),_xlfn.IFNA(VLOOKUP(UPPER(J79),'Konversi Nilai'!$B$3:$C$28,2,FALSE),""),"")</f>
        <v/>
      </c>
      <c r="G79" s="45"/>
      <c r="H79" s="45"/>
      <c r="I79" s="46"/>
      <c r="J79" s="44"/>
    </row>
    <row r="80" spans="1:10" x14ac:dyDescent="0.25">
      <c r="A80" s="18">
        <v>57</v>
      </c>
      <c r="B80" s="19" t="s">
        <v>146</v>
      </c>
      <c r="C80" s="19" t="s">
        <v>147</v>
      </c>
      <c r="D80" s="27">
        <v>4</v>
      </c>
      <c r="E80" s="18" t="str">
        <f t="shared" si="8"/>
        <v/>
      </c>
      <c r="F80" s="18" t="str">
        <f>IF(AND($G80&lt;&gt;"",$H80&lt;&gt;"",$I80&lt;&gt;"",$J80&lt;&gt;""),_xlfn.IFNA(VLOOKUP(UPPER(J80),'Konversi Nilai'!$B$3:$C$28,2,FALSE),""),"")</f>
        <v/>
      </c>
      <c r="G80" s="44"/>
      <c r="H80" s="44"/>
      <c r="I80" s="47"/>
      <c r="J80" s="44"/>
    </row>
    <row r="81" spans="1:10" x14ac:dyDescent="0.25">
      <c r="A81" s="18">
        <v>58</v>
      </c>
      <c r="B81" s="19" t="s">
        <v>148</v>
      </c>
      <c r="C81" s="19" t="s">
        <v>149</v>
      </c>
      <c r="D81" s="27">
        <v>4</v>
      </c>
      <c r="E81" s="18" t="str">
        <f t="shared" si="8"/>
        <v/>
      </c>
      <c r="F81" s="18" t="str">
        <f>IF(AND($G81&lt;&gt;"",$H81&lt;&gt;"",$I81&lt;&gt;"",$J81&lt;&gt;""),_xlfn.IFNA(VLOOKUP(UPPER(J81),'Konversi Nilai'!$B$3:$C$28,2,FALSE),""),"")</f>
        <v/>
      </c>
      <c r="G81" s="44"/>
      <c r="H81" s="44"/>
      <c r="I81" s="47"/>
      <c r="J81" s="44"/>
    </row>
    <row r="82" spans="1:10" x14ac:dyDescent="0.25">
      <c r="A82" s="18">
        <v>59</v>
      </c>
      <c r="B82" s="19" t="s">
        <v>150</v>
      </c>
      <c r="C82" s="19" t="s">
        <v>151</v>
      </c>
      <c r="D82" s="27">
        <v>4</v>
      </c>
      <c r="E82" s="18">
        <f t="shared" si="8"/>
        <v>4</v>
      </c>
      <c r="F82" s="18" t="str">
        <f>IF(AND($G82&lt;&gt;"",$H82&lt;&gt;"",$I82&lt;&gt;"",$J82&lt;&gt;""),_xlfn.IFNA(VLOOKUP(UPPER(J82),'Konversi Nilai'!$B$3:$C$28,2,FALSE),""),"")</f>
        <v>A</v>
      </c>
      <c r="G82" s="45" t="s">
        <v>23</v>
      </c>
      <c r="H82" s="45" t="s">
        <v>185</v>
      </c>
      <c r="I82" s="46">
        <v>3</v>
      </c>
      <c r="J82" s="44" t="s">
        <v>25</v>
      </c>
    </row>
    <row r="83" spans="1:10" x14ac:dyDescent="0.25">
      <c r="A83" s="18">
        <v>60</v>
      </c>
      <c r="B83" s="19" t="s">
        <v>152</v>
      </c>
      <c r="C83" s="19" t="s">
        <v>153</v>
      </c>
      <c r="D83" s="27">
        <v>4</v>
      </c>
      <c r="E83" s="18" t="str">
        <f t="shared" si="8"/>
        <v/>
      </c>
      <c r="F83" s="18" t="str">
        <f>IF(AND($G83&lt;&gt;"",$H83&lt;&gt;"",$I83&lt;&gt;"",$J83&lt;&gt;""),_xlfn.IFNA(VLOOKUP(UPPER(J83),'Konversi Nilai'!$B$3:$C$28,2,FALSE),""),"")</f>
        <v/>
      </c>
      <c r="G83" s="44"/>
      <c r="H83" s="44"/>
      <c r="I83" s="47"/>
      <c r="J83" s="44"/>
    </row>
    <row r="84" spans="1:10" x14ac:dyDescent="0.25">
      <c r="A84" s="18">
        <v>61</v>
      </c>
      <c r="B84" s="19" t="s">
        <v>154</v>
      </c>
      <c r="C84" s="19" t="s">
        <v>155</v>
      </c>
      <c r="D84" s="27">
        <v>4</v>
      </c>
      <c r="E84" s="18">
        <f t="shared" si="8"/>
        <v>4</v>
      </c>
      <c r="F84" s="18" t="str">
        <f>IF(AND($G84&lt;&gt;"",$H84&lt;&gt;"",$I84&lt;&gt;"",$J84&lt;&gt;""),_xlfn.IFNA(VLOOKUP(UPPER(J84),'Konversi Nilai'!$B$3:$C$28,2,FALSE),""),"")</f>
        <v>A</v>
      </c>
      <c r="G84" s="45" t="s">
        <v>23</v>
      </c>
      <c r="H84" s="45" t="s">
        <v>190</v>
      </c>
      <c r="I84" s="46">
        <v>3</v>
      </c>
      <c r="J84" s="44" t="s">
        <v>25</v>
      </c>
    </row>
    <row r="85" spans="1:10" x14ac:dyDescent="0.25">
      <c r="A85" s="18">
        <v>62</v>
      </c>
      <c r="B85" s="19" t="s">
        <v>156</v>
      </c>
      <c r="C85" s="19" t="s">
        <v>157</v>
      </c>
      <c r="D85" s="27">
        <v>4</v>
      </c>
      <c r="E85" s="18" t="str">
        <f t="shared" si="8"/>
        <v/>
      </c>
      <c r="F85" s="18" t="str">
        <f>IF(AND($G85&lt;&gt;"",$H85&lt;&gt;"",$I85&lt;&gt;"",$J85&lt;&gt;""),_xlfn.IFNA(VLOOKUP(UPPER(J85),'Konversi Nilai'!$B$3:$C$28,2,FALSE),""),"")</f>
        <v/>
      </c>
      <c r="G85" s="44"/>
      <c r="H85" s="44"/>
      <c r="I85" s="44"/>
      <c r="J85" s="44"/>
    </row>
    <row r="86" spans="1:10" x14ac:dyDescent="0.25">
      <c r="A86" s="18">
        <v>63</v>
      </c>
      <c r="B86" s="19" t="s">
        <v>158</v>
      </c>
      <c r="C86" s="19" t="s">
        <v>159</v>
      </c>
      <c r="D86" s="27">
        <v>4</v>
      </c>
      <c r="E86" s="18" t="str">
        <f t="shared" si="8"/>
        <v/>
      </c>
      <c r="F86" s="18" t="str">
        <f>IF(AND($G86&lt;&gt;"",$H86&lt;&gt;"",$I86&lt;&gt;"",$J86&lt;&gt;""),_xlfn.IFNA(VLOOKUP(UPPER(J86),'Konversi Nilai'!$B$3:$C$28,2,FALSE),""),"")</f>
        <v/>
      </c>
      <c r="G86" s="44"/>
      <c r="H86" s="44"/>
      <c r="I86" s="44"/>
      <c r="J86" s="44"/>
    </row>
    <row r="87" spans="1:10" x14ac:dyDescent="0.25">
      <c r="A87" s="18">
        <v>64</v>
      </c>
      <c r="B87" s="19" t="s">
        <v>160</v>
      </c>
      <c r="C87" s="19" t="s">
        <v>161</v>
      </c>
      <c r="D87" s="27">
        <v>4</v>
      </c>
      <c r="E87" s="18" t="str">
        <f t="shared" si="8"/>
        <v/>
      </c>
      <c r="F87" s="18" t="str">
        <f>IF(AND($G87&lt;&gt;"",$H87&lt;&gt;"",$I87&lt;&gt;"",$J87&lt;&gt;""),_xlfn.IFNA(VLOOKUP(UPPER(J87),'Konversi Nilai'!$B$3:$C$28,2,FALSE),""),"")</f>
        <v/>
      </c>
      <c r="G87" s="44"/>
      <c r="H87" s="44"/>
      <c r="I87" s="44"/>
      <c r="J87" s="44"/>
    </row>
    <row r="88" spans="1:10" x14ac:dyDescent="0.25">
      <c r="A88" s="63" t="s">
        <v>42</v>
      </c>
      <c r="B88" s="64"/>
      <c r="C88" s="65"/>
      <c r="D88" s="41">
        <f>SUM(D65:D87)</f>
        <v>84</v>
      </c>
      <c r="E88" s="41">
        <f>SUM(E65:E87)</f>
        <v>16</v>
      </c>
      <c r="F88" s="32"/>
      <c r="G88" s="42"/>
      <c r="H88" s="43"/>
      <c r="I88" s="41">
        <f>SUM(I65:I87)</f>
        <v>16</v>
      </c>
      <c r="J88" s="40"/>
    </row>
    <row r="89" spans="1:10" x14ac:dyDescent="0.25">
      <c r="A89" s="12" t="s">
        <v>162</v>
      </c>
      <c r="B89" s="12"/>
      <c r="C89" s="12"/>
      <c r="D89" s="20"/>
      <c r="E89" s="25"/>
      <c r="F89" s="26"/>
      <c r="G89" s="23"/>
      <c r="H89" s="16"/>
      <c r="I89" s="24"/>
      <c r="J89" s="24"/>
    </row>
    <row r="90" spans="1:10" x14ac:dyDescent="0.25">
      <c r="A90" s="18">
        <v>65</v>
      </c>
      <c r="B90" s="19" t="s">
        <v>163</v>
      </c>
      <c r="C90" s="19" t="s">
        <v>164</v>
      </c>
      <c r="D90" s="27">
        <v>4</v>
      </c>
      <c r="E90" s="18" t="str">
        <f t="shared" ref="E90" si="9">IF(AND($G90&lt;&gt;"",$H90&lt;&gt;"",$I90&lt;&gt;"",$J90&lt;&gt;""),$D90,"")</f>
        <v/>
      </c>
      <c r="F90" s="18" t="str">
        <f>IF(AND($G90&lt;&gt;"",$H90&lt;&gt;"",$I90&lt;&gt;"",$J90&lt;&gt;""),_xlfn.IFNA(VLOOKUP(UPPER(J90),'Konversi Nilai'!$B$3:$C$28,2,FALSE),""),"")</f>
        <v/>
      </c>
      <c r="G90" s="44"/>
      <c r="H90" s="44"/>
      <c r="I90" s="44"/>
      <c r="J90" s="44"/>
    </row>
    <row r="91" spans="1:10" x14ac:dyDescent="0.25">
      <c r="A91" s="63" t="s">
        <v>42</v>
      </c>
      <c r="B91" s="64"/>
      <c r="C91" s="65"/>
      <c r="D91" s="41">
        <f>SUM(D90)</f>
        <v>4</v>
      </c>
      <c r="E91" s="41">
        <f>SUM(E90)</f>
        <v>0</v>
      </c>
      <c r="F91" s="32"/>
      <c r="G91" s="42"/>
      <c r="H91" s="43"/>
      <c r="I91" s="41">
        <f>SUM(I90)</f>
        <v>0</v>
      </c>
      <c r="J91" s="40"/>
    </row>
    <row r="92" spans="1:10" x14ac:dyDescent="0.25">
      <c r="A92" s="66" t="s">
        <v>165</v>
      </c>
      <c r="B92" s="66"/>
      <c r="C92" s="66"/>
      <c r="D92" s="66">
        <f>E91+E88+E63+E55+E48+E39+E30+E20</f>
        <v>81</v>
      </c>
      <c r="E92" s="66"/>
      <c r="F92" s="67"/>
      <c r="G92" s="68" t="s">
        <v>166</v>
      </c>
      <c r="H92" s="66"/>
      <c r="I92" s="66">
        <f>SUM(I91,I88,I63,I55,I48,I39,I30,I20)</f>
        <v>92</v>
      </c>
      <c r="J92" s="66"/>
    </row>
  </sheetData>
  <sheetProtection algorithmName="SHA-512" hashValue="ZrWUI/1EOmIcfUKNN+2c134OSmVUyoOt+O+OjNsJ0pfK3uRqXgNE7iKwcMH+lbEmSV+yfFD3wazsd0oBPTIJQw==" saltValue="LVgrJ2WkzrWH9e8BubkfCA==" spinCount="100000" sheet="1" objects="1" scenarios="1" selectLockedCells="1"/>
  <mergeCells count="25">
    <mergeCell ref="A9:F9"/>
    <mergeCell ref="G9:J9"/>
    <mergeCell ref="A20:C20"/>
    <mergeCell ref="A30:C30"/>
    <mergeCell ref="A92:C92"/>
    <mergeCell ref="D92:F92"/>
    <mergeCell ref="G92:H92"/>
    <mergeCell ref="I92:J92"/>
    <mergeCell ref="A39:C39"/>
    <mergeCell ref="A48:C48"/>
    <mergeCell ref="A55:C55"/>
    <mergeCell ref="A63:C63"/>
    <mergeCell ref="A88:C88"/>
    <mergeCell ref="A91:C91"/>
    <mergeCell ref="A1:J1"/>
    <mergeCell ref="A2:J2"/>
    <mergeCell ref="A3:J3"/>
    <mergeCell ref="A4:B4"/>
    <mergeCell ref="D4:F8"/>
    <mergeCell ref="I4:J6"/>
    <mergeCell ref="A5:B5"/>
    <mergeCell ref="A6:B6"/>
    <mergeCell ref="A7:B7"/>
    <mergeCell ref="G7:J8"/>
    <mergeCell ref="A8:C8"/>
  </mergeCells>
  <conditionalFormatting sqref="A12:F19 A22:F29 A32:F38 A41:F47 A50:F54 A57:F62 A65:F87 A90:F90">
    <cfRule type="expression" dxfId="0" priority="1">
      <formula>$F12=""</formula>
    </cfRule>
  </conditionalFormatting>
  <pageMargins left="0.7" right="0.7" top="0.75" bottom="0.75" header="0.3" footer="0.3"/>
  <pageSetup scale="61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workbookViewId="0">
      <selection activeCell="B12" sqref="B12"/>
    </sheetView>
  </sheetViews>
  <sheetFormatPr defaultRowHeight="15" x14ac:dyDescent="0.25"/>
  <cols>
    <col min="2" max="2" width="9.28515625" bestFit="1" customWidth="1"/>
    <col min="3" max="3" width="11.140625" bestFit="1" customWidth="1"/>
  </cols>
  <sheetData>
    <row r="2" spans="2:3" x14ac:dyDescent="0.25">
      <c r="B2" s="29" t="s">
        <v>167</v>
      </c>
      <c r="C2" s="29" t="s">
        <v>168</v>
      </c>
    </row>
    <row r="3" spans="2:3" x14ac:dyDescent="0.25">
      <c r="B3" s="30" t="s">
        <v>25</v>
      </c>
      <c r="C3" s="30" t="s">
        <v>25</v>
      </c>
    </row>
    <row r="4" spans="2:3" x14ac:dyDescent="0.25">
      <c r="B4" s="30" t="s">
        <v>29</v>
      </c>
      <c r="C4" s="30" t="s">
        <v>29</v>
      </c>
    </row>
    <row r="5" spans="2:3" x14ac:dyDescent="0.25">
      <c r="B5" s="30" t="s">
        <v>169</v>
      </c>
      <c r="C5" s="30" t="s">
        <v>169</v>
      </c>
    </row>
    <row r="6" spans="2:3" x14ac:dyDescent="0.25">
      <c r="B6" s="30" t="s">
        <v>170</v>
      </c>
      <c r="C6" s="30" t="s">
        <v>170</v>
      </c>
    </row>
    <row r="7" spans="2:3" x14ac:dyDescent="0.25">
      <c r="B7" s="30" t="s">
        <v>171</v>
      </c>
      <c r="C7" s="30" t="s">
        <v>171</v>
      </c>
    </row>
    <row r="8" spans="2:3" x14ac:dyDescent="0.25">
      <c r="B8" s="30" t="s">
        <v>172</v>
      </c>
      <c r="C8" s="30" t="s">
        <v>29</v>
      </c>
    </row>
    <row r="9" spans="2:3" x14ac:dyDescent="0.25">
      <c r="B9" s="30" t="s">
        <v>173</v>
      </c>
      <c r="C9" s="30" t="s">
        <v>29</v>
      </c>
    </row>
    <row r="10" spans="2:3" x14ac:dyDescent="0.25">
      <c r="B10" s="30" t="s">
        <v>174</v>
      </c>
      <c r="C10" s="30" t="s">
        <v>170</v>
      </c>
    </row>
    <row r="11" spans="2:3" x14ac:dyDescent="0.25">
      <c r="B11" s="30" t="s">
        <v>175</v>
      </c>
      <c r="C11" s="30" t="s">
        <v>170</v>
      </c>
    </row>
    <row r="12" spans="2:3" x14ac:dyDescent="0.25">
      <c r="B12" s="18"/>
      <c r="C12" s="18"/>
    </row>
    <row r="13" spans="2:3" x14ac:dyDescent="0.25">
      <c r="B13" s="18"/>
      <c r="C13" s="18"/>
    </row>
    <row r="14" spans="2:3" x14ac:dyDescent="0.25">
      <c r="B14" s="18"/>
      <c r="C14" s="18"/>
    </row>
    <row r="15" spans="2:3" x14ac:dyDescent="0.25">
      <c r="B15" s="18"/>
      <c r="C15" s="18"/>
    </row>
    <row r="16" spans="2:3" x14ac:dyDescent="0.25">
      <c r="B16" s="18"/>
      <c r="C16" s="18"/>
    </row>
    <row r="17" spans="2:3" x14ac:dyDescent="0.25">
      <c r="B17" s="18"/>
      <c r="C17" s="18"/>
    </row>
    <row r="18" spans="2:3" x14ac:dyDescent="0.25">
      <c r="B18" s="18"/>
      <c r="C18" s="18"/>
    </row>
    <row r="19" spans="2:3" x14ac:dyDescent="0.25">
      <c r="B19" s="18"/>
      <c r="C19" s="18"/>
    </row>
    <row r="20" spans="2:3" x14ac:dyDescent="0.25">
      <c r="B20" s="18"/>
      <c r="C20" s="18"/>
    </row>
    <row r="21" spans="2:3" x14ac:dyDescent="0.25">
      <c r="B21" s="18"/>
      <c r="C21" s="18"/>
    </row>
    <row r="22" spans="2:3" x14ac:dyDescent="0.25">
      <c r="B22" s="18"/>
      <c r="C22" s="18"/>
    </row>
    <row r="23" spans="2:3" x14ac:dyDescent="0.25">
      <c r="B23" s="18"/>
      <c r="C23" s="18"/>
    </row>
    <row r="24" spans="2:3" x14ac:dyDescent="0.25">
      <c r="B24" s="18"/>
      <c r="C24" s="18"/>
    </row>
    <row r="25" spans="2:3" x14ac:dyDescent="0.25">
      <c r="B25" s="18"/>
      <c r="C25" s="18"/>
    </row>
    <row r="26" spans="2:3" x14ac:dyDescent="0.25">
      <c r="B26" s="18"/>
      <c r="C26" s="18"/>
    </row>
    <row r="27" spans="2:3" x14ac:dyDescent="0.25">
      <c r="B27" s="18"/>
      <c r="C27" s="18"/>
    </row>
    <row r="28" spans="2:3" x14ac:dyDescent="0.25">
      <c r="B28" s="18"/>
      <c r="C28" s="1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0F00782BACC54BAE51FC7B7EBA4B6D" ma:contentTypeVersion="10" ma:contentTypeDescription="Create a new document." ma:contentTypeScope="" ma:versionID="36453922d66ead0e8941b36c11a0a79a">
  <xsd:schema xmlns:xsd="http://www.w3.org/2001/XMLSchema" xmlns:xs="http://www.w3.org/2001/XMLSchema" xmlns:p="http://schemas.microsoft.com/office/2006/metadata/properties" xmlns:ns3="47a5eb9e-1714-49ce-8375-53be5ed4de86" xmlns:ns4="95281eb8-116f-45e9-9389-af9795c787ef" targetNamespace="http://schemas.microsoft.com/office/2006/metadata/properties" ma:root="true" ma:fieldsID="fdf245e5cbcb7d0e09fe57d8520793bf" ns3:_="" ns4:_="">
    <xsd:import namespace="47a5eb9e-1714-49ce-8375-53be5ed4de86"/>
    <xsd:import namespace="95281eb8-116f-45e9-9389-af9795c787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5eb9e-1714-49ce-8375-53be5ed4d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81eb8-116f-45e9-9389-af9795c787e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598862-EB12-4FEE-B15F-9877C90EC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a5eb9e-1714-49ce-8375-53be5ed4de86"/>
    <ds:schemaRef ds:uri="95281eb8-116f-45e9-9389-af9795c78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94002F-FD5E-4EE0-9A6A-654BF4C447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8F5F57-8962-4EDF-80C7-DB7D0ED73B0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95281eb8-116f-45e9-9389-af9795c787ef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47a5eb9e-1714-49ce-8375-53be5ed4de8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 Nilai</vt:lpstr>
      <vt:lpstr>Konversi Nilai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Ngurah Ady Kusuma</dc:creator>
  <cp:keywords/>
  <dc:description/>
  <cp:lastModifiedBy>MBC</cp:lastModifiedBy>
  <cp:revision/>
  <cp:lastPrinted>2023-10-20T03:01:21Z</cp:lastPrinted>
  <dcterms:created xsi:type="dcterms:W3CDTF">2021-09-02T01:14:45Z</dcterms:created>
  <dcterms:modified xsi:type="dcterms:W3CDTF">2023-10-20T03:10:51Z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0x010100FD0F00782BACC54BAE51FC7B7EBA4B6D</vt:lpwstr>
  </property>
</Properties>
</file>