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e6wjRsRxVqNBAHBS5IiAFhqMJ/oes639jQb+VCb36KA="/>
    </ext>
  </extLst>
</workbook>
</file>

<file path=xl/sharedStrings.xml><?xml version="1.0" encoding="utf-8"?>
<sst xmlns="http://schemas.openxmlformats.org/spreadsheetml/2006/main" count="52" uniqueCount="41">
  <si>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</si>
  <si>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</si>
  <si>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</si>
  <si>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230010147</t>
  </si>
  <si>
    <t>Nama     : Yande Eka Useryana</t>
  </si>
  <si>
    <t>Prodi      : S1- SISTEM KOMPUTER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</si>
  <si>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</si>
  <si>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</si>
  <si>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</si>
  <si>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</si>
  <si>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</si>
  <si>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</si>
  <si>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</si>
  <si>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</si>
  <si>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Tunggakan</t>
  </si>
  <si>
    <t>Cuti 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</si>
  <si>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</si>
  <si>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</si>
  <si>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</si>
  <si>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</si>
  <si>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</si>
  <si>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</si>
  <si>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</si>
  <si>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</si>
  <si>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Mahasiswa RENIM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</si>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</sst>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b/>
      <sz val="11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9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2.0"/>
      <color rgb="FF1F1F1F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5" fillId="0" fontId="9" numFmtId="0" xfId="0" applyAlignment="1" applyBorder="1" applyFont="1">
      <alignment horizontal="right" vertical="center"/>
    </xf>
    <xf borderId="6" fillId="3" fontId="2" numFmtId="0" xfId="0" applyAlignment="1" applyBorder="1" applyFill="1" applyFont="1">
      <alignment shrinkToFit="0" vertical="center" wrapText="1"/>
    </xf>
    <xf borderId="6" fillId="0" fontId="2" numFmtId="164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0" xfId="0" applyAlignment="1" applyBorder="1" applyFont="1">
      <alignment shrinkToFit="0" vertical="center" wrapText="1"/>
    </xf>
    <xf borderId="0" fillId="0" fontId="2" numFmtId="167" xfId="0" applyAlignment="1" applyFont="1" applyNumberFormat="1">
      <alignment vertical="bottom"/>
    </xf>
    <xf borderId="3" fillId="0" fontId="6" numFmtId="0" xfId="0" applyBorder="1" applyFont="1"/>
    <xf borderId="4" fillId="0" fontId="6" numFmtId="0" xfId="0" applyBorder="1" applyFont="1"/>
    <xf borderId="3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6" xfId="0" applyAlignment="1" applyBorder="1" applyFont="1" applyNumberForma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165" xfId="0" applyAlignment="1" applyBorder="1" applyFont="1" applyNumberFormat="1">
      <alignment horizontal="right" readingOrder="0" vertical="center"/>
    </xf>
    <xf borderId="4" fillId="3" fontId="2" numFmtId="164" xfId="0" applyAlignment="1" applyBorder="1" applyFont="1" applyNumberFormat="1">
      <alignment horizontal="right" vertical="center"/>
    </xf>
    <xf borderId="4" fillId="3" fontId="2" numFmtId="0" xfId="0" applyAlignment="1" applyBorder="1" applyFont="1">
      <alignment vertical="center"/>
    </xf>
    <xf borderId="4" fillId="3" fontId="13" numFmtId="0" xfId="0" applyAlignment="1" applyBorder="1" applyFont="1">
      <alignment vertical="center"/>
    </xf>
    <xf borderId="0" fillId="0" fontId="14" numFmtId="164" xfId="0" applyAlignment="1" applyFont="1" applyNumberFormat="1">
      <alignment horizontal="center" readingOrder="0" vertical="center"/>
    </xf>
    <xf borderId="6" fillId="0" fontId="6" numFmtId="0" xfId="0" applyBorder="1" applyFont="1"/>
    <xf borderId="4" fillId="3" fontId="2" numFmtId="164" xfId="0" applyAlignment="1" applyBorder="1" applyFont="1" applyNumberFormat="1">
      <alignment vertical="center"/>
    </xf>
    <xf borderId="7" fillId="2" fontId="9" numFmtId="0" xfId="0" applyAlignment="1" applyBorder="1" applyFont="1">
      <alignment horizontal="center" vertical="center"/>
    </xf>
    <xf borderId="2" fillId="2" fontId="9" numFmtId="164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4" fillId="2" fontId="1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vertical="bottom"/>
    </xf>
    <xf borderId="0" fillId="0" fontId="15" numFmtId="3" xfId="0" applyAlignment="1" applyFont="1" applyNumberFormat="1">
      <alignment vertical="bottom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6" numFmtId="164" xfId="0" applyAlignment="1" applyBorder="1" applyFont="1" applyNumberFormat="1">
      <alignment horizontal="center" vertical="center"/>
    </xf>
    <xf borderId="6" fillId="4" fontId="1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13" numFmtId="0" xfId="0" applyAlignment="1" applyBorder="1" applyFont="1">
      <alignment vertical="center"/>
    </xf>
    <xf borderId="9" fillId="0" fontId="6" numFmtId="0" xfId="0" applyBorder="1" applyFont="1"/>
    <xf borderId="10" fillId="0" fontId="13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1114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3.71"/>
    <col customWidth="1" min="3" max="7" width="19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4.2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1.0</v>
      </c>
      <c r="B14" s="23" t="s">
        <v>13</v>
      </c>
      <c r="C14" s="24">
        <v>5500000.0</v>
      </c>
      <c r="D14" s="25">
        <v>45178.0</v>
      </c>
      <c r="E14" s="26">
        <v>1000000.0</v>
      </c>
      <c r="F14" s="24">
        <f>C14-E14-E15</f>
        <v>4000000</v>
      </c>
      <c r="G14" s="27" t="s">
        <v>14</v>
      </c>
      <c r="H14" s="5"/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/>
      <c r="B15" s="30"/>
      <c r="C15" s="30"/>
      <c r="D15" s="25">
        <v>45329.0</v>
      </c>
      <c r="E15" s="26">
        <v>500000.0</v>
      </c>
      <c r="F15" s="30"/>
      <c r="G15" s="27"/>
      <c r="H15" s="5"/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1">
        <v>2.0</v>
      </c>
      <c r="B16" s="32" t="s">
        <v>15</v>
      </c>
      <c r="C16" s="33">
        <v>1000000.0</v>
      </c>
      <c r="D16" s="34"/>
      <c r="E16" s="33">
        <v>0.0</v>
      </c>
      <c r="F16" s="35">
        <f t="shared" ref="F16:F19" si="1">C16-E16</f>
        <v>1000000</v>
      </c>
      <c r="G16" s="36" t="str">
        <f>if(E16&gt;=C16,"Lunas","Tunggakan")</f>
        <v>Tunggakan</v>
      </c>
      <c r="H16" s="5"/>
      <c r="I16" s="2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1">
        <v>3.0</v>
      </c>
      <c r="B17" s="32" t="s">
        <v>16</v>
      </c>
      <c r="C17" s="33">
        <v>1100000.0</v>
      </c>
      <c r="D17" s="37"/>
      <c r="E17" s="35"/>
      <c r="F17" s="35">
        <f t="shared" si="1"/>
        <v>1100000</v>
      </c>
      <c r="G17" s="38" t="s">
        <v>14</v>
      </c>
      <c r="H17" s="5"/>
      <c r="I17" s="2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1">
        <v>4.0</v>
      </c>
      <c r="B18" s="32" t="s">
        <v>17</v>
      </c>
      <c r="C18" s="33">
        <v>1100000.0</v>
      </c>
      <c r="D18" s="37"/>
      <c r="E18" s="35"/>
      <c r="F18" s="35">
        <f t="shared" si="1"/>
        <v>1100000</v>
      </c>
      <c r="G18" s="38" t="s">
        <v>14</v>
      </c>
      <c r="H18" s="5"/>
      <c r="I18" s="2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1">
        <v>5.0</v>
      </c>
      <c r="B19" s="32" t="s">
        <v>18</v>
      </c>
      <c r="C19" s="33">
        <v>1100000.0</v>
      </c>
      <c r="D19" s="37"/>
      <c r="E19" s="35"/>
      <c r="F19" s="35">
        <f t="shared" si="1"/>
        <v>1100000</v>
      </c>
      <c r="G19" s="38" t="s">
        <v>14</v>
      </c>
      <c r="H19" s="5"/>
      <c r="I19" s="2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9" t="s">
        <v>19</v>
      </c>
      <c r="B20" s="40"/>
      <c r="C20" s="41">
        <f>sum(C14:C19)</f>
        <v>9800000</v>
      </c>
      <c r="D20" s="42"/>
      <c r="E20" s="42">
        <f t="shared" ref="E20:F20" si="2">sum(E14:E19)</f>
        <v>1500000</v>
      </c>
      <c r="F20" s="43">
        <f t="shared" si="2"/>
        <v>8300000</v>
      </c>
      <c r="G20" s="44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5"/>
      <c r="B21" s="45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6" t="s">
        <v>20</v>
      </c>
      <c r="B22" s="2"/>
      <c r="C22" s="3"/>
      <c r="D22" s="4"/>
      <c r="E22" s="3"/>
      <c r="F22" s="3"/>
      <c r="G22" s="2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/>
      <c r="B23" s="14"/>
      <c r="C23" s="15"/>
      <c r="D23" s="16"/>
      <c r="E23" s="15"/>
      <c r="F23" s="15"/>
      <c r="G23" s="14"/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7" t="s">
        <v>7</v>
      </c>
      <c r="B24" s="18" t="s">
        <v>8</v>
      </c>
      <c r="C24" s="19" t="s">
        <v>9</v>
      </c>
      <c r="D24" s="20" t="s">
        <v>10</v>
      </c>
      <c r="E24" s="19" t="s">
        <v>11</v>
      </c>
      <c r="F24" s="19" t="s">
        <v>12</v>
      </c>
      <c r="G24" s="18" t="s">
        <v>8</v>
      </c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7">
        <v>1.0</v>
      </c>
      <c r="B25" s="48" t="s">
        <v>21</v>
      </c>
      <c r="C25" s="49">
        <v>300000.0</v>
      </c>
      <c r="D25" s="50">
        <v>45175.0</v>
      </c>
      <c r="E25" s="51">
        <v>300000.0</v>
      </c>
      <c r="F25" s="51">
        <f>C25-E25</f>
        <v>0</v>
      </c>
      <c r="G25" s="52" t="s">
        <v>22</v>
      </c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7">
        <v>2.0</v>
      </c>
      <c r="B26" s="53" t="s">
        <v>23</v>
      </c>
      <c r="C26" s="54" t="s">
        <v>24</v>
      </c>
      <c r="G26" s="55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7">
        <v>3.0</v>
      </c>
      <c r="B27" s="48" t="s">
        <v>25</v>
      </c>
      <c r="C27" s="40"/>
      <c r="D27" s="40"/>
      <c r="E27" s="40"/>
      <c r="F27" s="40"/>
      <c r="G27" s="30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7">
        <v>4.0</v>
      </c>
      <c r="B28" s="48" t="s">
        <v>26</v>
      </c>
      <c r="C28" s="35"/>
      <c r="D28" s="37"/>
      <c r="E28" s="35"/>
      <c r="F28" s="56"/>
      <c r="G28" s="52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7" t="s">
        <v>27</v>
      </c>
      <c r="B29" s="40"/>
      <c r="C29" s="58">
        <f>sum(C25)</f>
        <v>300000</v>
      </c>
      <c r="D29" s="59"/>
      <c r="E29" s="60">
        <f>sum(E25:E28)</f>
        <v>300000</v>
      </c>
      <c r="F29" s="60">
        <f>SUM(F25:F28)</f>
        <v>0</v>
      </c>
      <c r="G29" s="61"/>
      <c r="H29" s="62"/>
      <c r="I29" s="62"/>
      <c r="J29" s="62"/>
      <c r="K29" s="63"/>
      <c r="L29" s="64"/>
      <c r="M29" s="64"/>
      <c r="N29" s="64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5" t="s">
        <v>28</v>
      </c>
      <c r="B30" s="40"/>
      <c r="C30" s="66">
        <f>C20+C29</f>
        <v>10100000</v>
      </c>
      <c r="D30" s="67"/>
      <c r="E30" s="68">
        <f>E29+E20</f>
        <v>1800000</v>
      </c>
      <c r="F30" s="69">
        <f>F20+F29</f>
        <v>8300000</v>
      </c>
      <c r="G30" s="70"/>
      <c r="H30" s="62"/>
      <c r="I30" s="62"/>
      <c r="J30" s="62"/>
      <c r="K30" s="63"/>
      <c r="L30" s="64"/>
      <c r="M30" s="64"/>
      <c r="N30" s="64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45"/>
      <c r="B31" s="71"/>
      <c r="E31" s="3"/>
      <c r="F31" s="7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2"/>
      <c r="B32" s="10"/>
      <c r="C32" s="11"/>
      <c r="D32" s="11"/>
      <c r="E32" s="73"/>
      <c r="F32" s="10"/>
      <c r="G32" s="11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4" t="s">
        <v>29</v>
      </c>
      <c r="G33" s="75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4" t="s">
        <v>30</v>
      </c>
      <c r="G34" s="75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4" t="s">
        <v>31</v>
      </c>
      <c r="G35" s="75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6" t="s">
        <v>32</v>
      </c>
      <c r="B36" s="11"/>
      <c r="C36" s="11"/>
      <c r="D36" s="11"/>
      <c r="E36" s="11"/>
      <c r="F36" s="11"/>
      <c r="G36" s="77"/>
      <c r="H36" s="78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/>
      <c r="B37" s="2"/>
      <c r="C37" s="3"/>
      <c r="D37" s="4"/>
      <c r="E37" s="3"/>
      <c r="F37" s="79" t="s">
        <v>33</v>
      </c>
      <c r="G37" s="80">
        <v>45329.0</v>
      </c>
      <c r="H37" s="81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3"/>
      <c r="C38" s="3"/>
      <c r="D38" s="4"/>
      <c r="E38" s="3"/>
      <c r="F38" s="82" t="s">
        <v>34</v>
      </c>
      <c r="H38" s="83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82" t="s">
        <v>35</v>
      </c>
      <c r="D39" s="4"/>
      <c r="E39" s="3"/>
      <c r="F39" s="82" t="s">
        <v>36</v>
      </c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4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3"/>
      <c r="G41" s="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2"/>
      <c r="C42" s="3"/>
      <c r="D42" s="4"/>
      <c r="E42" s="3"/>
      <c r="F42" s="71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3"/>
      <c r="C43" s="3"/>
      <c r="D43" s="4"/>
      <c r="E43" s="3"/>
      <c r="F43" s="3"/>
      <c r="G43" s="3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84" t="s">
        <v>37</v>
      </c>
      <c r="C44" s="11"/>
      <c r="D44" s="4"/>
      <c r="E44" s="3"/>
      <c r="F44" s="84" t="s">
        <v>38</v>
      </c>
      <c r="G44" s="11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85" t="s">
        <v>39</v>
      </c>
      <c r="D45" s="4"/>
      <c r="E45" s="3"/>
      <c r="F45" s="86" t="s">
        <v>40</v>
      </c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2"/>
      <c r="C46" s="3"/>
      <c r="D46" s="4"/>
      <c r="E46" s="71"/>
      <c r="G46" s="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71"/>
      <c r="D47" s="4"/>
      <c r="E47" s="71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2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2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2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2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2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2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F14:F15"/>
    <mergeCell ref="C26:G27"/>
    <mergeCell ref="A20:B20"/>
    <mergeCell ref="A29:B29"/>
    <mergeCell ref="B31:D31"/>
    <mergeCell ref="F31:G31"/>
    <mergeCell ref="B32:D32"/>
    <mergeCell ref="F32:G32"/>
    <mergeCell ref="A33:G33"/>
    <mergeCell ref="A34:G34"/>
    <mergeCell ref="A30:B30"/>
    <mergeCell ref="B44:C44"/>
    <mergeCell ref="B45:C45"/>
    <mergeCell ref="B47:C47"/>
    <mergeCell ref="F45:G45"/>
    <mergeCell ref="E46:F46"/>
    <mergeCell ref="E47:G47"/>
    <mergeCell ref="A35:G35"/>
    <mergeCell ref="A36:G36"/>
    <mergeCell ref="F38:G38"/>
    <mergeCell ref="B39:C39"/>
    <mergeCell ref="F39:G39"/>
    <mergeCell ref="F42:G42"/>
    <mergeCell ref="F44:G4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