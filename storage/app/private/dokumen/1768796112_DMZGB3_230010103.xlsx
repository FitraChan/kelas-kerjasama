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N2cjlQmP7LKkf6pRRLXBU5qcqUKeiu+48Bztv2bzsH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2">
      <text>
        <t xml:space="preserve">======
ID#AAABVMQuwwk
MBC Consulting    (2024-09-11 02:41:39)
010/MBC/VI/2023 
sudah dialihkan 21 September 2023</t>
      </text>
    </comment>
    <comment authorId="0" ref="C15">
      <text>
        <t xml:space="preserve">======
ID#AAABTaY0vQA
MBC Consulting    (2024-08-09 23:56:36)
ada kesalahan transfer 25.000 (biaya pendaftaran di stikom)</t>
      </text>
    </comment>
  </commentList>
  <extLst>
    <ext uri="GoogleSheetsCustomDataVersion2">
      <go:sheetsCustomData xmlns:go="http://customooxmlschemas.google.com/" r:id="rId1" roundtripDataSignature="AMtx7mhSfC1j+zv5kSae098vqrEQ4U93Rw=="/>
    </ext>
  </extLst>
</comments>
</file>

<file path=xl/sharedStrings.xml><?xml version="1.0" encoding="utf-8"?>
<sst xmlns="http://schemas.openxmlformats.org/spreadsheetml/2006/main" count="50" uniqueCount="41">
  <si>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</si>
  <si>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</si>
  <si>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</si>
  <si>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230010103</t>
  </si>
  <si>
    <t>Nama     : Sang Made Wiradana</t>
  </si>
  <si>
    <t>Prodi      : S1-BISNIS DIGITAL</t>
  </si>
  <si>
    <r>
      <rPr>
        <rFont val="&quot;Times New Roman&quot;"/>
        <color rgb="FF000000"/>
        <sz val="15.0"/>
      </rPr>
      <t>I</t>
    </r>
    <r>
      <rPr>
        <rFont val="&quot;Times New Roman&quot;"/>
        <b/>
        <color rgb="FF000000"/>
        <sz val="15.0"/>
      </rPr>
      <t>. Biaya Semesteran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</si>
  <si>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</si>
  <si>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</si>
  <si>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</si>
  <si>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</si>
  <si>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</si>
  <si>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</si>
  <si>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</si>
  <si>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Lunas</t>
  </si>
  <si>
    <t>Genap 2023/2024</t>
  </si>
  <si>
    <t>Ganjil 2024/2025</t>
  </si>
  <si>
    <t>Genap 2024/2025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</si>
  <si>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</si>
  <si>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</si>
  <si>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</si>
  <si>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</si>
  <si>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 xml:space="preserve">Pengalihan Dana Ke ITB </t>
  </si>
  <si>
    <t>Almamater &amp; Orientasi</t>
  </si>
  <si>
    <t>Merupakan Mahasiswa RENIM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</si>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</sst>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d&quot;-&quot;mmm&quot;-&quot;yyyy"/>
    <numFmt numFmtId="166" formatCode="[$-409]d\-mmm\-yy"/>
  </numFmts>
  <fonts count="20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b/>
      <sz val="14.0"/>
      <color theme="1"/>
      <name val="Calibri"/>
    </font>
    <font>
      <sz val="14.0"/>
      <color theme="1"/>
      <name val="Calibri"/>
    </font>
    <font>
      <sz val="14.0"/>
      <color theme="1"/>
      <name val="Calibri"/>
      <scheme val="minor"/>
    </font>
    <font>
      <sz val="16.0"/>
      <color rgb="FF000000"/>
      <name val="&quot;Times New Roman&quot;"/>
    </font>
    <font>
      <sz val="12.0"/>
      <color theme="1"/>
      <name val="&quot;Times New Roman&quot;"/>
    </font>
    <font>
      <sz val="13.0"/>
      <color theme="1"/>
      <name val="Calibri"/>
    </font>
    <font>
      <b/>
      <sz val="16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3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2" fillId="0" fontId="7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5" fillId="0" fontId="9" numFmtId="0" xfId="0" applyAlignment="1" applyBorder="1" applyFont="1">
      <alignment horizontal="right" vertical="bottom"/>
    </xf>
    <xf borderId="6" fillId="3" fontId="2" numFmtId="0" xfId="0" applyAlignment="1" applyBorder="1" applyFill="1" applyFont="1">
      <alignment readingOrder="0" shrinkToFit="0" vertical="bottom" wrapText="1"/>
    </xf>
    <xf borderId="6" fillId="0" fontId="2" numFmtId="164" xfId="0" applyAlignment="1" applyBorder="1" applyFont="1" applyNumberFormat="1">
      <alignment horizontal="right" readingOrder="0" vertical="bottom"/>
    </xf>
    <xf borderId="4" fillId="0" fontId="2" numFmtId="166" xfId="0" applyAlignment="1" applyBorder="1" applyFont="1" applyNumberFormat="1">
      <alignment horizontal="right" readingOrder="0" vertical="bottom"/>
    </xf>
    <xf borderId="4" fillId="0" fontId="2" numFmtId="164" xfId="0" applyAlignment="1" applyBorder="1" applyFont="1" applyNumberFormat="1">
      <alignment horizontal="right" readingOrder="0" vertical="bottom"/>
    </xf>
    <xf borderId="6" fillId="0" fontId="2" numFmtId="164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readingOrder="0" shrinkToFit="0" vertical="bottom" wrapText="1"/>
    </xf>
    <xf borderId="3" fillId="0" fontId="6" numFmtId="0" xfId="0" applyBorder="1" applyFont="1"/>
    <xf borderId="4" fillId="0" fontId="6" numFmtId="0" xfId="0" applyBorder="1" applyFont="1"/>
    <xf borderId="5" fillId="0" fontId="9" numFmtId="0" xfId="0" applyAlignment="1" applyBorder="1" applyFont="1">
      <alignment horizontal="right" readingOrder="0" vertical="bottom"/>
    </xf>
    <xf borderId="6" fillId="0" fontId="2" numFmtId="0" xfId="0" applyAlignment="1" applyBorder="1" applyFont="1">
      <alignment shrinkToFit="0" vertical="bottom" wrapText="1"/>
    </xf>
    <xf borderId="4" fillId="0" fontId="2" numFmtId="165" xfId="0" applyAlignment="1" applyBorder="1" applyFont="1" applyNumberFormat="1">
      <alignment readingOrder="0" vertical="bottom"/>
    </xf>
    <xf borderId="4" fillId="0" fontId="2" numFmtId="164" xfId="0" applyAlignment="1" applyBorder="1" applyFont="1" applyNumberFormat="1">
      <alignment readingOrder="0" vertical="bottom"/>
    </xf>
    <xf borderId="4" fillId="0" fontId="2" numFmtId="165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vertical="bottom"/>
    </xf>
    <xf borderId="3" fillId="0" fontId="2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7" fillId="2" fontId="10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11" numFmtId="164" xfId="0" applyAlignment="1" applyBorder="1" applyFont="1" applyNumberFormat="1">
      <alignment horizontal="center" vertical="bottom"/>
    </xf>
    <xf borderId="4" fillId="2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Font="1"/>
    <xf borderId="0" fillId="3" fontId="2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3" fillId="3" fontId="15" numFmtId="0" xfId="0" applyAlignment="1" applyBorder="1" applyFont="1">
      <alignment horizontal="center" vertical="center"/>
    </xf>
    <xf borderId="4" fillId="3" fontId="15" numFmtId="0" xfId="0" applyAlignment="1" applyBorder="1" applyFont="1">
      <alignment shrinkToFit="0" vertical="center" wrapText="1"/>
    </xf>
    <xf borderId="4" fillId="0" fontId="2" numFmtId="164" xfId="0" applyAlignment="1" applyBorder="1" applyFont="1" applyNumberFormat="1">
      <alignment horizontal="right" vertical="center"/>
    </xf>
    <xf borderId="4" fillId="0" fontId="2" numFmtId="0" xfId="0" applyAlignment="1" applyBorder="1" applyFont="1">
      <alignment horizontal="center" readingOrder="0" shrinkToFit="0" vertical="center" wrapText="1"/>
    </xf>
    <xf borderId="8" fillId="3" fontId="16" numFmtId="164" xfId="0" applyAlignment="1" applyBorder="1" applyFont="1" applyNumberFormat="1">
      <alignment horizontal="center" readingOrder="0" vertical="center"/>
    </xf>
    <xf borderId="3" fillId="3" fontId="15" numFmtId="0" xfId="0" applyAlignment="1" applyBorder="1" applyFont="1">
      <alignment horizontal="center" vertical="bottom"/>
    </xf>
    <xf borderId="4" fillId="3" fontId="15" numFmtId="0" xfId="0" applyAlignment="1" applyBorder="1" applyFont="1">
      <alignment vertical="bottom"/>
    </xf>
    <xf borderId="0" fillId="0" fontId="17" numFmtId="164" xfId="0" applyAlignment="1" applyFont="1" applyNumberFormat="1">
      <alignment horizontal="center" readingOrder="0" vertical="center"/>
    </xf>
    <xf borderId="6" fillId="0" fontId="6" numFmtId="0" xfId="0" applyBorder="1" applyFont="1"/>
    <xf borderId="4" fillId="3" fontId="15" numFmtId="0" xfId="0" applyAlignment="1" applyBorder="1" applyFont="1">
      <alignment shrinkToFit="0" vertical="bottom" wrapText="1"/>
    </xf>
    <xf borderId="4" fillId="3" fontId="2" numFmtId="164" xfId="0" applyAlignment="1" applyBorder="1" applyFont="1" applyNumberFormat="1">
      <alignment vertical="bottom"/>
    </xf>
    <xf borderId="7" fillId="2" fontId="9" numFmtId="0" xfId="0" applyAlignment="1" applyBorder="1" applyFont="1">
      <alignment horizontal="center" vertical="bottom"/>
    </xf>
    <xf borderId="2" fillId="2" fontId="9" numFmtId="164" xfId="0" applyAlignment="1" applyBorder="1" applyFont="1" applyNumberFormat="1">
      <alignment horizontal="center" vertical="bottom"/>
    </xf>
    <xf borderId="4" fillId="2" fontId="9" numFmtId="0" xfId="0" applyAlignment="1" applyBorder="1" applyFont="1">
      <alignment horizontal="center" vertical="bottom"/>
    </xf>
    <xf borderId="4" fillId="2" fontId="9" numFmtId="164" xfId="0" applyAlignment="1" applyBorder="1" applyFont="1" applyNumberFormat="1">
      <alignment horizontal="center" vertical="bottom"/>
    </xf>
    <xf borderId="4" fillId="2" fontId="12" numFmtId="0" xfId="0" applyAlignment="1" applyBorder="1" applyFont="1">
      <alignment vertical="bottom"/>
    </xf>
    <xf borderId="7" fillId="4" fontId="10" numFmtId="0" xfId="0" applyAlignment="1" applyBorder="1" applyFill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4" fillId="4" fontId="10" numFmtId="0" xfId="0" applyAlignment="1" applyBorder="1" applyFont="1">
      <alignment horizontal="center" vertical="bottom"/>
    </xf>
    <xf borderId="4" fillId="4" fontId="10" numFmtId="164" xfId="0" applyAlignment="1" applyBorder="1" applyFont="1" applyNumberFormat="1">
      <alignment horizontal="center" vertical="bottom"/>
    </xf>
    <xf borderId="8" fillId="4" fontId="11" numFmtId="164" xfId="0" applyAlignment="1" applyBorder="1" applyFont="1" applyNumberFormat="1">
      <alignment horizontal="center" vertical="bottom"/>
    </xf>
    <xf borderId="8" fillId="4" fontId="1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9" fillId="0" fontId="15" numFmtId="0" xfId="0" applyAlignment="1" applyBorder="1" applyFont="1">
      <alignment vertical="bottom"/>
    </xf>
    <xf borderId="10" fillId="0" fontId="6" numFmtId="0" xfId="0" applyBorder="1" applyFont="1"/>
    <xf borderId="11" fillId="0" fontId="15" numFmtId="165" xfId="0" applyAlignment="1" applyBorder="1" applyFont="1" applyNumberFormat="1">
      <alignment vertical="bottom"/>
    </xf>
    <xf borderId="12" fillId="0" fontId="6" numFmtId="0" xfId="0" applyBorder="1" applyFont="1"/>
    <xf borderId="0" fillId="0" fontId="1" numFmtId="164" xfId="0" applyAlignment="1" applyFont="1" applyNumberFormat="1">
      <alignment horizontal="right" vertical="bottom"/>
    </xf>
    <xf borderId="0" fillId="3" fontId="18" numFmtId="165" xfId="0" applyAlignment="1" applyFont="1" applyNumberFormat="1">
      <alignment horizontal="left" readingOrder="0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9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38325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7.29"/>
    <col customWidth="1" min="3" max="3" width="18.71"/>
    <col customWidth="1" min="4" max="4" width="18.29"/>
    <col customWidth="1" min="5" max="5" width="19.43"/>
    <col customWidth="1" min="6" max="6" width="18.29"/>
    <col customWidth="1" min="7" max="7" width="19.14"/>
  </cols>
  <sheetData>
    <row r="1">
      <c r="A1" s="1" t="s">
        <v>0</v>
      </c>
      <c r="B1" s="2"/>
      <c r="C1" s="3"/>
      <c r="D1" s="4"/>
      <c r="E1" s="3"/>
      <c r="F1" s="3"/>
      <c r="G1" s="2"/>
      <c r="H1" s="2"/>
    </row>
    <row r="2" ht="36.75" customHeight="1">
      <c r="A2" s="2"/>
      <c r="B2" s="2"/>
      <c r="C2" s="5" t="s">
        <v>1</v>
      </c>
      <c r="H2" s="2"/>
    </row>
    <row r="3">
      <c r="A3" s="2"/>
      <c r="B3" s="2"/>
      <c r="C3" s="3"/>
      <c r="D3" s="4"/>
      <c r="E3" s="3"/>
      <c r="F3" s="3"/>
      <c r="G3" s="2"/>
      <c r="H3" s="2"/>
    </row>
    <row r="4">
      <c r="A4" s="2"/>
      <c r="B4" s="2"/>
      <c r="C4" s="3"/>
      <c r="D4" s="4"/>
      <c r="E4" s="3"/>
      <c r="F4" s="3"/>
      <c r="G4" s="2"/>
      <c r="H4" s="2"/>
    </row>
    <row r="5">
      <c r="A5" s="2"/>
      <c r="B5" s="2"/>
      <c r="C5" s="6" t="s">
        <v>2</v>
      </c>
      <c r="H5" s="2"/>
    </row>
    <row r="6">
      <c r="A6" s="7"/>
      <c r="B6" s="8"/>
      <c r="C6" s="8"/>
      <c r="D6" s="8"/>
      <c r="E6" s="8"/>
      <c r="F6" s="8"/>
      <c r="G6" s="8"/>
      <c r="H6" s="2"/>
    </row>
    <row r="7">
      <c r="A7" s="2"/>
      <c r="B7" s="2"/>
      <c r="C7" s="3"/>
      <c r="D7" s="4"/>
      <c r="E7" s="3"/>
      <c r="F7" s="3"/>
      <c r="G7" s="2"/>
      <c r="H7" s="2"/>
    </row>
    <row r="8">
      <c r="A8" s="9" t="s">
        <v>3</v>
      </c>
    </row>
    <row r="9">
      <c r="A9" s="9" t="s">
        <v>4</v>
      </c>
    </row>
    <row r="10">
      <c r="A10" s="10" t="s">
        <v>5</v>
      </c>
    </row>
    <row r="11">
      <c r="A11" s="7"/>
      <c r="B11" s="8"/>
      <c r="C11" s="8"/>
      <c r="D11" s="8"/>
      <c r="E11" s="8"/>
      <c r="F11" s="8"/>
      <c r="G11" s="8"/>
      <c r="H11" s="2"/>
    </row>
    <row r="12">
      <c r="A12" s="2"/>
      <c r="B12" s="2"/>
      <c r="C12" s="3"/>
      <c r="D12" s="4"/>
      <c r="E12" s="3"/>
      <c r="F12" s="3"/>
      <c r="G12" s="2"/>
      <c r="H12" s="2"/>
    </row>
    <row r="13">
      <c r="A13" s="11" t="s">
        <v>6</v>
      </c>
      <c r="B13" s="12"/>
      <c r="C13" s="13"/>
      <c r="D13" s="14"/>
      <c r="E13" s="13"/>
      <c r="F13" s="13"/>
      <c r="G13" s="12"/>
      <c r="H13" s="2"/>
    </row>
    <row r="14">
      <c r="A14" s="15" t="s">
        <v>7</v>
      </c>
      <c r="B14" s="16" t="s">
        <v>8</v>
      </c>
      <c r="C14" s="17" t="s">
        <v>9</v>
      </c>
      <c r="D14" s="18" t="s">
        <v>10</v>
      </c>
      <c r="E14" s="17" t="s">
        <v>11</v>
      </c>
      <c r="F14" s="17" t="s">
        <v>12</v>
      </c>
      <c r="G14" s="16" t="s">
        <v>8</v>
      </c>
      <c r="H14" s="19"/>
    </row>
    <row r="15">
      <c r="A15" s="20">
        <v>1.0</v>
      </c>
      <c r="B15" s="21" t="s">
        <v>13</v>
      </c>
      <c r="C15" s="22">
        <v>5425000.0</v>
      </c>
      <c r="D15" s="23">
        <v>45156.0</v>
      </c>
      <c r="E15" s="24">
        <v>2750000.0</v>
      </c>
      <c r="F15" s="25">
        <f>C15-E15-E16</f>
        <v>0</v>
      </c>
      <c r="G15" s="26" t="s">
        <v>14</v>
      </c>
      <c r="H15" s="2"/>
    </row>
    <row r="16">
      <c r="A16" s="27"/>
      <c r="B16" s="28"/>
      <c r="C16" s="28"/>
      <c r="D16" s="23">
        <v>45329.0</v>
      </c>
      <c r="E16" s="24">
        <v>2675000.0</v>
      </c>
      <c r="F16" s="28"/>
      <c r="G16" s="28"/>
      <c r="H16" s="2"/>
    </row>
    <row r="17">
      <c r="A17" s="29">
        <v>2.0</v>
      </c>
      <c r="B17" s="21" t="s">
        <v>15</v>
      </c>
      <c r="C17" s="22">
        <v>5500000.0</v>
      </c>
      <c r="D17" s="23">
        <v>45329.0</v>
      </c>
      <c r="E17" s="24">
        <v>3325000.0</v>
      </c>
      <c r="F17" s="25">
        <f>C17-E17-E18</f>
        <v>0</v>
      </c>
      <c r="G17" s="30" t="str">
        <f>if(F17&lt;=C17,"Lunas","Tunggakan")</f>
        <v>Lunas</v>
      </c>
      <c r="H17" s="2"/>
    </row>
    <row r="18">
      <c r="A18" s="27"/>
      <c r="B18" s="28"/>
      <c r="C18" s="28"/>
      <c r="D18" s="31">
        <v>45532.0</v>
      </c>
      <c r="E18" s="32">
        <v>2175000.0</v>
      </c>
      <c r="F18" s="28"/>
      <c r="G18" s="28"/>
      <c r="H18" s="2"/>
    </row>
    <row r="19">
      <c r="A19" s="29">
        <v>3.0</v>
      </c>
      <c r="B19" s="21" t="s">
        <v>16</v>
      </c>
      <c r="C19" s="22">
        <v>5500000.0</v>
      </c>
      <c r="D19" s="23">
        <v>45532.0</v>
      </c>
      <c r="E19" s="24">
        <v>1825000.0</v>
      </c>
      <c r="F19" s="25">
        <f>C19-E19</f>
        <v>3675000</v>
      </c>
      <c r="G19" s="30" t="str">
        <f>if(E19&gt;+C19,"Lunas","Tunggakan")</f>
        <v>Tunggakan</v>
      </c>
      <c r="H19" s="2"/>
    </row>
    <row r="20">
      <c r="A20" s="27"/>
      <c r="B20" s="28"/>
      <c r="C20" s="28"/>
      <c r="D20" s="33"/>
      <c r="E20" s="34"/>
      <c r="F20" s="28"/>
      <c r="G20" s="28"/>
      <c r="H20" s="2"/>
    </row>
    <row r="21">
      <c r="A21" s="35">
        <v>4.0</v>
      </c>
      <c r="B21" s="36" t="s">
        <v>17</v>
      </c>
      <c r="C21" s="32">
        <v>1100000.0</v>
      </c>
      <c r="D21" s="33"/>
      <c r="E21" s="34"/>
      <c r="F21" s="34">
        <f t="shared" ref="F21:F22" si="1">C21-E21</f>
        <v>1100000</v>
      </c>
      <c r="G21" s="30" t="str">
        <f>if(E21&gt;+C21,"Lunas","Tunggakan")</f>
        <v>Tunggakan</v>
      </c>
      <c r="H21" s="2"/>
    </row>
    <row r="22">
      <c r="A22" s="35">
        <v>5.0</v>
      </c>
      <c r="B22" s="36" t="s">
        <v>18</v>
      </c>
      <c r="C22" s="32">
        <v>5500000.0</v>
      </c>
      <c r="D22" s="33"/>
      <c r="E22" s="34"/>
      <c r="F22" s="34">
        <f t="shared" si="1"/>
        <v>5500000</v>
      </c>
      <c r="G22" s="28"/>
      <c r="H22" s="2"/>
    </row>
    <row r="23">
      <c r="A23" s="37"/>
      <c r="B23" s="38"/>
      <c r="C23" s="34"/>
      <c r="D23" s="33"/>
      <c r="E23" s="34"/>
      <c r="F23" s="34"/>
      <c r="G23" s="39"/>
      <c r="H23" s="2"/>
    </row>
    <row r="24">
      <c r="A24" s="37"/>
      <c r="B24" s="38"/>
      <c r="C24" s="34"/>
      <c r="D24" s="33"/>
      <c r="E24" s="34"/>
      <c r="F24" s="34"/>
      <c r="G24" s="39"/>
      <c r="H24" s="2"/>
    </row>
    <row r="25">
      <c r="A25" s="37"/>
      <c r="B25" s="38"/>
      <c r="C25" s="34"/>
      <c r="D25" s="33"/>
      <c r="E25" s="34"/>
      <c r="F25" s="34"/>
      <c r="G25" s="39"/>
      <c r="H25" s="2"/>
    </row>
    <row r="26">
      <c r="A26" s="37"/>
      <c r="B26" s="38"/>
      <c r="C26" s="34"/>
      <c r="D26" s="33"/>
      <c r="E26" s="34"/>
      <c r="F26" s="34"/>
      <c r="G26" s="39"/>
      <c r="H26" s="2"/>
    </row>
    <row r="27">
      <c r="A27" s="40" t="s">
        <v>19</v>
      </c>
      <c r="B27" s="41"/>
      <c r="C27" s="42">
        <f>SUM(C15:C26)</f>
        <v>23025000</v>
      </c>
      <c r="D27" s="43"/>
      <c r="E27" s="43">
        <f>sum(E15:E20)</f>
        <v>12750000</v>
      </c>
      <c r="F27" s="44">
        <f>sum(F15:F25)</f>
        <v>10275000</v>
      </c>
      <c r="G27" s="45"/>
      <c r="H27" s="46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48"/>
      <c r="B28" s="48"/>
      <c r="C28" s="3"/>
      <c r="D28" s="4"/>
      <c r="E28" s="3"/>
      <c r="F28" s="3"/>
      <c r="G28" s="2"/>
      <c r="H28" s="2"/>
    </row>
    <row r="29">
      <c r="A29" s="49" t="s">
        <v>20</v>
      </c>
      <c r="B29" s="2"/>
      <c r="C29" s="3"/>
      <c r="D29" s="4"/>
      <c r="E29" s="3"/>
      <c r="F29" s="3"/>
      <c r="G29" s="2"/>
      <c r="H29" s="2"/>
    </row>
    <row r="30">
      <c r="A30" s="12"/>
      <c r="B30" s="12"/>
      <c r="C30" s="13"/>
      <c r="D30" s="14"/>
      <c r="E30" s="13"/>
      <c r="F30" s="13"/>
      <c r="G30" s="12"/>
      <c r="H30" s="2"/>
    </row>
    <row r="31">
      <c r="A31" s="15" t="s">
        <v>7</v>
      </c>
      <c r="B31" s="16" t="s">
        <v>8</v>
      </c>
      <c r="C31" s="17" t="s">
        <v>9</v>
      </c>
      <c r="D31" s="18" t="s">
        <v>10</v>
      </c>
      <c r="E31" s="17" t="s">
        <v>11</v>
      </c>
      <c r="F31" s="17" t="s">
        <v>12</v>
      </c>
      <c r="G31" s="16" t="s">
        <v>8</v>
      </c>
      <c r="H31" s="19"/>
    </row>
    <row r="32">
      <c r="A32" s="50">
        <v>1.0</v>
      </c>
      <c r="B32" s="51" t="s">
        <v>21</v>
      </c>
      <c r="C32" s="52">
        <v>300000.0</v>
      </c>
      <c r="D32" s="53" t="s">
        <v>22</v>
      </c>
      <c r="E32" s="54">
        <v>300000.0</v>
      </c>
      <c r="F32" s="54">
        <v>0.0</v>
      </c>
      <c r="G32" s="54" t="s">
        <v>14</v>
      </c>
      <c r="H32" s="19"/>
    </row>
    <row r="33">
      <c r="A33" s="55">
        <v>2.0</v>
      </c>
      <c r="B33" s="56" t="s">
        <v>23</v>
      </c>
      <c r="C33" s="57" t="s">
        <v>24</v>
      </c>
      <c r="G33" s="58"/>
      <c r="H33" s="2"/>
    </row>
    <row r="34">
      <c r="A34" s="55">
        <v>3.0</v>
      </c>
      <c r="B34" s="59" t="s">
        <v>25</v>
      </c>
      <c r="C34" s="41"/>
      <c r="D34" s="41"/>
      <c r="E34" s="41"/>
      <c r="F34" s="41"/>
      <c r="G34" s="28"/>
      <c r="H34" s="2"/>
    </row>
    <row r="35">
      <c r="A35" s="55">
        <v>4.0</v>
      </c>
      <c r="B35" s="59" t="s">
        <v>26</v>
      </c>
      <c r="C35" s="34"/>
      <c r="D35" s="33"/>
      <c r="E35" s="34"/>
      <c r="F35" s="60"/>
      <c r="G35" s="38"/>
      <c r="H35" s="2"/>
    </row>
    <row r="36">
      <c r="A36" s="61" t="s">
        <v>27</v>
      </c>
      <c r="B36" s="41"/>
      <c r="C36" s="62">
        <f>SUM(C32)</f>
        <v>300000</v>
      </c>
      <c r="D36" s="63"/>
      <c r="E36" s="64">
        <f>sum(E32:E35)</f>
        <v>300000</v>
      </c>
      <c r="F36" s="64">
        <f>SUM(F32:F35)</f>
        <v>0</v>
      </c>
      <c r="G36" s="65"/>
      <c r="H36" s="46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66" t="s">
        <v>28</v>
      </c>
      <c r="B37" s="41"/>
      <c r="C37" s="67">
        <f>C27+C36</f>
        <v>23325000</v>
      </c>
      <c r="D37" s="68"/>
      <c r="E37" s="69">
        <f>E36+E27</f>
        <v>13050000</v>
      </c>
      <c r="F37" s="70">
        <f>F27+F36</f>
        <v>10275000</v>
      </c>
      <c r="G37" s="71"/>
      <c r="H37" s="46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8"/>
      <c r="E38" s="3"/>
      <c r="H38" s="2"/>
    </row>
    <row r="39">
      <c r="A39" s="72"/>
      <c r="B39" s="7"/>
      <c r="C39" s="8"/>
      <c r="D39" s="8"/>
      <c r="E39" s="73"/>
      <c r="F39" s="7"/>
      <c r="G39" s="8"/>
      <c r="H39" s="2"/>
    </row>
    <row r="40">
      <c r="A40" s="74" t="s">
        <v>29</v>
      </c>
      <c r="G40" s="75"/>
      <c r="H40" s="2"/>
    </row>
    <row r="41">
      <c r="A41" s="74" t="s">
        <v>30</v>
      </c>
      <c r="G41" s="75"/>
      <c r="H41" s="2"/>
    </row>
    <row r="42">
      <c r="A42" s="74" t="s">
        <v>31</v>
      </c>
      <c r="G42" s="75"/>
      <c r="H42" s="2"/>
    </row>
    <row r="43">
      <c r="A43" s="76" t="s">
        <v>32</v>
      </c>
      <c r="B43" s="8"/>
      <c r="C43" s="8"/>
      <c r="D43" s="8"/>
      <c r="E43" s="8"/>
      <c r="F43" s="8"/>
      <c r="G43" s="77"/>
      <c r="H43" s="4"/>
    </row>
    <row r="44">
      <c r="A44" s="2"/>
      <c r="B44" s="2"/>
      <c r="C44" s="3"/>
      <c r="D44" s="4"/>
      <c r="E44" s="3"/>
      <c r="F44" s="78" t="s">
        <v>33</v>
      </c>
      <c r="G44" s="79">
        <v>45532.0</v>
      </c>
      <c r="H44" s="80"/>
    </row>
    <row r="45">
      <c r="A45" s="2"/>
      <c r="B45" s="3"/>
      <c r="C45" s="3"/>
      <c r="D45" s="4"/>
      <c r="E45" s="3"/>
      <c r="F45" s="81" t="s">
        <v>34</v>
      </c>
      <c r="H45" s="3"/>
    </row>
    <row r="46">
      <c r="A46" s="2"/>
      <c r="B46" s="81" t="s">
        <v>35</v>
      </c>
      <c r="D46" s="4"/>
      <c r="E46" s="3"/>
      <c r="F46" s="81" t="s">
        <v>36</v>
      </c>
      <c r="H46" s="2"/>
    </row>
    <row r="47">
      <c r="A47" s="2"/>
      <c r="B47" s="2"/>
      <c r="C47" s="3"/>
      <c r="D47" s="4"/>
      <c r="E47" s="3"/>
      <c r="F47" s="3"/>
      <c r="G47" s="4"/>
      <c r="H47" s="2"/>
    </row>
    <row r="48">
      <c r="A48" s="2"/>
      <c r="B48" s="2"/>
      <c r="C48" s="3"/>
      <c r="D48" s="4"/>
      <c r="E48" s="3"/>
      <c r="F48" s="3"/>
      <c r="G48" s="2"/>
      <c r="H48" s="2"/>
    </row>
    <row r="49">
      <c r="A49" s="2"/>
      <c r="B49" s="2"/>
      <c r="C49" s="3"/>
      <c r="D49" s="4"/>
      <c r="E49" s="3"/>
      <c r="H49" s="2"/>
    </row>
    <row r="50">
      <c r="A50" s="2"/>
      <c r="B50" s="3"/>
      <c r="C50" s="3"/>
      <c r="D50" s="4"/>
      <c r="E50" s="3"/>
      <c r="F50" s="3"/>
      <c r="G50" s="3"/>
      <c r="H50" s="2"/>
    </row>
    <row r="51">
      <c r="A51" s="2"/>
      <c r="B51" s="82" t="s">
        <v>37</v>
      </c>
      <c r="C51" s="8"/>
      <c r="D51" s="4"/>
      <c r="E51" s="3"/>
      <c r="F51" s="82" t="s">
        <v>38</v>
      </c>
      <c r="G51" s="8"/>
      <c r="H51" s="2"/>
    </row>
    <row r="52">
      <c r="A52" s="2"/>
      <c r="B52" s="83" t="s">
        <v>39</v>
      </c>
      <c r="D52" s="4"/>
      <c r="E52" s="3"/>
      <c r="F52" s="84" t="s">
        <v>40</v>
      </c>
      <c r="H52" s="2"/>
    </row>
    <row r="53">
      <c r="A53" s="2"/>
      <c r="B53" s="2"/>
      <c r="C53" s="3"/>
      <c r="D53" s="4"/>
      <c r="G53" s="2"/>
      <c r="H53" s="2"/>
    </row>
    <row r="54">
      <c r="A54" s="2"/>
      <c r="D54" s="4"/>
      <c r="H54" s="2"/>
    </row>
  </sheetData>
  <mergeCells count="46">
    <mergeCell ref="C2:G2"/>
    <mergeCell ref="C5:G5"/>
    <mergeCell ref="A6:G6"/>
    <mergeCell ref="A8:H8"/>
    <mergeCell ref="A9:H9"/>
    <mergeCell ref="A10:H10"/>
    <mergeCell ref="A11:G11"/>
    <mergeCell ref="F15:F16"/>
    <mergeCell ref="F17:F18"/>
    <mergeCell ref="F19:F20"/>
    <mergeCell ref="G19:G20"/>
    <mergeCell ref="G21:G22"/>
    <mergeCell ref="A15:A16"/>
    <mergeCell ref="B15:B16"/>
    <mergeCell ref="C15:C16"/>
    <mergeCell ref="G15:G16"/>
    <mergeCell ref="B17:B18"/>
    <mergeCell ref="C17:C18"/>
    <mergeCell ref="G17:G18"/>
    <mergeCell ref="A17:A18"/>
    <mergeCell ref="A19:A20"/>
    <mergeCell ref="B19:B20"/>
    <mergeCell ref="C19:C20"/>
    <mergeCell ref="C33:G34"/>
    <mergeCell ref="A27:B27"/>
    <mergeCell ref="A36:B36"/>
    <mergeCell ref="B38:D38"/>
    <mergeCell ref="F38:G38"/>
    <mergeCell ref="B39:D39"/>
    <mergeCell ref="F39:G39"/>
    <mergeCell ref="A40:G40"/>
    <mergeCell ref="A41:G41"/>
    <mergeCell ref="A37:B37"/>
    <mergeCell ref="B51:C51"/>
    <mergeCell ref="B52:C52"/>
    <mergeCell ref="B54:C54"/>
    <mergeCell ref="F52:G52"/>
    <mergeCell ref="E53:F53"/>
    <mergeCell ref="E54:G54"/>
    <mergeCell ref="A42:G42"/>
    <mergeCell ref="A43:G43"/>
    <mergeCell ref="F45:G45"/>
    <mergeCell ref="B46:C46"/>
    <mergeCell ref="F46:G46"/>
    <mergeCell ref="F49:G49"/>
    <mergeCell ref="F51:G51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