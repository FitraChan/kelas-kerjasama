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<sst xmlns="http://schemas.openxmlformats.org/spreadsheetml/2006/main" count="53" uniqueCount="40">
  <si>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</si>
  <si>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</si>
  <si>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</si>
  <si>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230030316</t>
  </si>
  <si>
    <t>Nama     : Dhiva Faradilla</t>
  </si>
  <si>
    <t>Prodi      : S1- SISTEM INFORMASI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</si>
  <si>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</si>
  <si>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</si>
  <si>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</si>
  <si>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</si>
  <si>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</si>
  <si>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</si>
  <si>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</si>
  <si>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2023/2024</t>
  </si>
  <si>
    <t>Tunggakan</t>
  </si>
  <si>
    <t>Genap 2023/2024</t>
  </si>
  <si>
    <t>Ganjil 2024/2025</t>
  </si>
  <si>
    <t>genap 2024/2025</t>
  </si>
  <si>
    <t>Ganjil 2025/2026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</si>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</sst>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5.0"/>
      <color theme="1"/>
      <name val="Calibri"/>
    </font>
    <font>
      <sz val="16.0"/>
      <color rgb="FF000000"/>
      <name val="&quot;Times New Roman&quot;"/>
    </font>
    <font>
      <sz val="12.0"/>
      <color theme="1"/>
      <name val="&quot;Times New Roman&quot;"/>
    </font>
    <font>
      <sz val="14.0"/>
      <color theme="1"/>
      <name val="Calibri"/>
    </font>
    <font>
      <b/>
      <sz val="14.0"/>
      <color theme="1"/>
      <name val="&quot;Times New Roman&quot;"/>
    </font>
    <font>
      <b/>
      <sz val="14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9" numFmtId="0" xfId="0" applyAlignment="1" applyBorder="1" applyFont="1">
      <alignment horizontal="right" vertical="bottom"/>
    </xf>
    <xf borderId="4" fillId="3" fontId="2" numFmtId="0" xfId="0" applyAlignment="1" applyBorder="1" applyFill="1" applyFont="1">
      <alignment readingOrder="0" shrinkToFit="0" vertical="bottom" wrapText="1"/>
    </xf>
    <xf borderId="4" fillId="0" fontId="2" numFmtId="164" xfId="0" applyAlignment="1" applyBorder="1" applyFont="1" applyNumberFormat="1">
      <alignment horizontal="right" vertical="bottom"/>
    </xf>
    <xf borderId="4" fillId="0" fontId="2" numFmtId="166" xfId="0" applyAlignment="1" applyBorder="1" applyFont="1" applyNumberFormat="1">
      <alignment horizontal="right" readingOrder="0" vertical="bottom"/>
    </xf>
    <xf borderId="4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shrinkToFit="0" vertical="bottom" wrapText="1"/>
    </xf>
    <xf borderId="0" fillId="0" fontId="2" numFmtId="167" xfId="0" applyAlignment="1" applyFont="1" applyNumberFormat="1">
      <alignment vertical="bottom"/>
    </xf>
    <xf borderId="3" fillId="0" fontId="9" numFmtId="0" xfId="0" applyAlignment="1" applyBorder="1" applyFont="1">
      <alignment horizontal="right" readingOrder="0" vertical="bottom"/>
    </xf>
    <xf borderId="3" fillId="0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readingOrder="0" vertical="bottom"/>
    </xf>
    <xf borderId="4" fillId="0" fontId="2" numFmtId="165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5" fillId="2" fontId="8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8" numFmtId="164" xfId="0" applyAlignment="1" applyBorder="1" applyFont="1" applyNumberFormat="1">
      <alignment horizontal="center" vertical="bottom"/>
    </xf>
    <xf borderId="4" fillId="2" fontId="8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12" numFmtId="0" xfId="0" applyAlignment="1" applyBorder="1" applyFont="1">
      <alignment horizontal="center" vertical="bottom"/>
    </xf>
    <xf borderId="4" fillId="3" fontId="12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horizontal="right" readingOrder="0" vertical="bottom"/>
    </xf>
    <xf borderId="4" fillId="3" fontId="2" numFmtId="164" xfId="0" applyAlignment="1" applyBorder="1" applyFont="1" applyNumberFormat="1">
      <alignment horizontal="right" vertical="bottom"/>
    </xf>
    <xf borderId="4" fillId="3" fontId="2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4" fillId="3" fontId="2" numFmtId="164" xfId="0" applyAlignment="1" applyBorder="1" applyFont="1" applyNumberFormat="1">
      <alignment vertical="bottom"/>
    </xf>
    <xf borderId="5" fillId="2" fontId="9" numFmtId="0" xfId="0" applyAlignment="1" applyBorder="1" applyFon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horizontal="center" vertical="bottom"/>
    </xf>
    <xf borderId="4" fillId="2" fontId="9" numFmtId="164" xfId="0" applyAlignment="1" applyBorder="1" applyFont="1" applyNumberFormat="1">
      <alignment horizontal="center" vertical="bottom"/>
    </xf>
    <xf borderId="4" fillId="2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vertical="bottom"/>
    </xf>
    <xf borderId="0" fillId="0" fontId="13" numFmtId="3" xfId="0" applyAlignment="1" applyFont="1" applyNumberFormat="1">
      <alignment vertical="bottom"/>
    </xf>
    <xf borderId="5" fillId="4" fontId="14" numFmtId="0" xfId="0" applyAlignment="1" applyBorder="1" applyFill="1" applyFont="1">
      <alignment horizontal="center" vertical="bottom"/>
    </xf>
    <xf borderId="2" fillId="4" fontId="14" numFmtId="164" xfId="0" applyAlignment="1" applyBorder="1" applyFont="1" applyNumberFormat="1">
      <alignment horizontal="center" vertical="bottom"/>
    </xf>
    <xf borderId="4" fillId="4" fontId="14" numFmtId="0" xfId="0" applyAlignment="1" applyBorder="1" applyFont="1">
      <alignment horizontal="center" vertical="bottom"/>
    </xf>
    <xf borderId="4" fillId="4" fontId="14" numFmtId="164" xfId="0" applyAlignment="1" applyBorder="1" applyFont="1" applyNumberFormat="1">
      <alignment horizontal="center" vertical="bottom"/>
    </xf>
    <xf borderId="6" fillId="4" fontId="15" numFmtId="164" xfId="0" applyAlignment="1" applyBorder="1" applyFont="1" applyNumberFormat="1">
      <alignment horizontal="center" vertical="bottom"/>
    </xf>
    <xf borderId="6" fillId="4" fontId="1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7" fillId="0" fontId="12" numFmtId="0" xfId="0" applyAlignment="1" applyBorder="1" applyFont="1">
      <alignment vertical="bottom"/>
    </xf>
    <xf borderId="8" fillId="0" fontId="6" numFmtId="0" xfId="0" applyBorder="1" applyFont="1"/>
    <xf borderId="9" fillId="0" fontId="12" numFmtId="165" xfId="0" applyAlignment="1" applyBorder="1" applyFont="1" applyNumberFormat="1">
      <alignment vertical="bottom"/>
    </xf>
    <xf borderId="10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6" numFmtId="165" xfId="0" applyAlignment="1" applyFont="1" applyNumberFormat="1">
      <alignment horizontal="left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1.0</v>
      </c>
      <c r="B14" s="22" t="s">
        <v>13</v>
      </c>
      <c r="C14" s="23">
        <v>5500000.0</v>
      </c>
      <c r="D14" s="24">
        <v>45159.0</v>
      </c>
      <c r="E14" s="25">
        <v>2000000.0</v>
      </c>
      <c r="F14" s="23">
        <f t="shared" ref="F14:F18" si="1">C14-E14</f>
        <v>3500000</v>
      </c>
      <c r="G14" s="26" t="s">
        <v>14</v>
      </c>
      <c r="H14" s="2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8">
        <v>2.0</v>
      </c>
      <c r="B15" s="22" t="s">
        <v>15</v>
      </c>
      <c r="C15" s="25">
        <v>1000000.0</v>
      </c>
      <c r="D15" s="24"/>
      <c r="E15" s="25"/>
      <c r="F15" s="23">
        <f t="shared" si="1"/>
        <v>1000000</v>
      </c>
      <c r="G15" s="26" t="s">
        <v>14</v>
      </c>
      <c r="H15" s="2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8">
        <v>3.0</v>
      </c>
      <c r="B16" s="22" t="s">
        <v>16</v>
      </c>
      <c r="C16" s="25">
        <v>1000000.0</v>
      </c>
      <c r="D16" s="24"/>
      <c r="E16" s="25"/>
      <c r="F16" s="23">
        <f t="shared" si="1"/>
        <v>1000000</v>
      </c>
      <c r="G16" s="26" t="s">
        <v>14</v>
      </c>
      <c r="H16" s="2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>
        <v>4.0</v>
      </c>
      <c r="B17" s="30" t="s">
        <v>17</v>
      </c>
      <c r="C17" s="31">
        <v>1100000.0</v>
      </c>
      <c r="D17" s="32"/>
      <c r="E17" s="33"/>
      <c r="F17" s="33">
        <f t="shared" si="1"/>
        <v>1100000</v>
      </c>
      <c r="G17" s="34" t="s">
        <v>14</v>
      </c>
      <c r="H17" s="2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>
        <v>5.0</v>
      </c>
      <c r="B18" s="30" t="s">
        <v>18</v>
      </c>
      <c r="C18" s="31">
        <v>1100000.0</v>
      </c>
      <c r="D18" s="32"/>
      <c r="E18" s="33"/>
      <c r="F18" s="33">
        <f t="shared" si="1"/>
        <v>1100000</v>
      </c>
      <c r="G18" s="35"/>
      <c r="H18" s="2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6" t="s">
        <v>19</v>
      </c>
      <c r="B19" s="37"/>
      <c r="C19" s="38">
        <f>sum(C14:C18)</f>
        <v>9700000</v>
      </c>
      <c r="D19" s="39"/>
      <c r="E19" s="39">
        <f t="shared" ref="E19:F19" si="2">SUM(E14:E18)</f>
        <v>2000000</v>
      </c>
      <c r="F19" s="40">
        <f t="shared" si="2"/>
        <v>7700000</v>
      </c>
      <c r="G19" s="41"/>
      <c r="H19" s="42"/>
      <c r="I19" s="42"/>
      <c r="J19" s="42"/>
      <c r="K19" s="43"/>
      <c r="L19" s="44"/>
      <c r="M19" s="44"/>
      <c r="N19" s="44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5"/>
      <c r="B20" s="45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6" t="s">
        <v>20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7" t="s">
        <v>7</v>
      </c>
      <c r="B23" s="48" t="s">
        <v>8</v>
      </c>
      <c r="C23" s="49" t="s">
        <v>9</v>
      </c>
      <c r="D23" s="50" t="s">
        <v>10</v>
      </c>
      <c r="E23" s="49" t="s">
        <v>11</v>
      </c>
      <c r="F23" s="49" t="s">
        <v>12</v>
      </c>
      <c r="G23" s="48" t="s">
        <v>8</v>
      </c>
      <c r="H23" s="51"/>
      <c r="I23" s="51"/>
      <c r="J23" s="51"/>
      <c r="K23" s="52"/>
      <c r="L23" s="53"/>
      <c r="M23" s="53"/>
      <c r="N23" s="53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4">
        <v>1.0</v>
      </c>
      <c r="B24" s="55" t="s">
        <v>21</v>
      </c>
      <c r="C24" s="23">
        <v>300000.0</v>
      </c>
      <c r="D24" s="56">
        <v>45045.0</v>
      </c>
      <c r="E24" s="57">
        <v>300000.0</v>
      </c>
      <c r="F24" s="57">
        <f t="shared" ref="F24:F26" si="3">C24-E24</f>
        <v>0</v>
      </c>
      <c r="G24" s="58" t="s">
        <v>22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4">
        <v>2.0</v>
      </c>
      <c r="B25" s="59" t="s">
        <v>23</v>
      </c>
      <c r="C25" s="23">
        <v>1350000.0</v>
      </c>
      <c r="D25" s="60"/>
      <c r="E25" s="23"/>
      <c r="F25" s="57">
        <f t="shared" si="3"/>
        <v>1350000</v>
      </c>
      <c r="G25" s="30" t="s">
        <v>14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4">
        <v>3.0</v>
      </c>
      <c r="B26" s="55" t="s">
        <v>24</v>
      </c>
      <c r="C26" s="23">
        <v>8000000.0</v>
      </c>
      <c r="D26" s="60"/>
      <c r="E26" s="23"/>
      <c r="F26" s="57">
        <f t="shared" si="3"/>
        <v>8000000</v>
      </c>
      <c r="G26" s="58" t="s">
        <v>14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4">
        <v>4.0</v>
      </c>
      <c r="B27" s="55" t="s">
        <v>25</v>
      </c>
      <c r="C27" s="33"/>
      <c r="D27" s="32"/>
      <c r="E27" s="33"/>
      <c r="F27" s="61"/>
      <c r="G27" s="58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2" t="s">
        <v>26</v>
      </c>
      <c r="B28" s="37"/>
      <c r="C28" s="63">
        <f>sum(C24:C27)</f>
        <v>9650000</v>
      </c>
      <c r="D28" s="64"/>
      <c r="E28" s="65">
        <f>sum(E24:E27)</f>
        <v>300000</v>
      </c>
      <c r="F28" s="65">
        <f>SUM(F24:F27)</f>
        <v>9350000</v>
      </c>
      <c r="G28" s="66"/>
      <c r="H28" s="67"/>
      <c r="I28" s="67"/>
      <c r="J28" s="67"/>
      <c r="K28" s="68"/>
      <c r="L28" s="69"/>
      <c r="M28" s="69"/>
      <c r="N28" s="69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70" t="s">
        <v>27</v>
      </c>
      <c r="B29" s="37"/>
      <c r="C29" s="71">
        <f>C19+C28</f>
        <v>19350000</v>
      </c>
      <c r="D29" s="72"/>
      <c r="E29" s="73">
        <f>E28+E19</f>
        <v>2300000</v>
      </c>
      <c r="F29" s="74">
        <f>F19+F28</f>
        <v>17050000</v>
      </c>
      <c r="G29" s="75"/>
      <c r="H29" s="67"/>
      <c r="I29" s="67"/>
      <c r="J29" s="67"/>
      <c r="K29" s="68"/>
      <c r="L29" s="69"/>
      <c r="M29" s="69"/>
      <c r="N29" s="69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45"/>
      <c r="E30" s="3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6"/>
      <c r="B31" s="9"/>
      <c r="C31" s="10"/>
      <c r="D31" s="10"/>
      <c r="E31" s="77"/>
      <c r="F31" s="9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8" t="s">
        <v>28</v>
      </c>
      <c r="G32" s="79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8" t="s">
        <v>29</v>
      </c>
      <c r="G33" s="79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8" t="s">
        <v>30</v>
      </c>
      <c r="G34" s="79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0" t="s">
        <v>31</v>
      </c>
      <c r="B35" s="10"/>
      <c r="C35" s="10"/>
      <c r="D35" s="10"/>
      <c r="E35" s="10"/>
      <c r="F35" s="10"/>
      <c r="G35" s="81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2" t="s">
        <v>32</v>
      </c>
      <c r="G36" s="83">
        <v>45209.0</v>
      </c>
      <c r="H36" s="8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5" t="s">
        <v>33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5" t="s">
        <v>34</v>
      </c>
      <c r="D38" s="4"/>
      <c r="E38" s="3"/>
      <c r="F38" s="85" t="s">
        <v>35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6" t="s">
        <v>36</v>
      </c>
      <c r="C43" s="10"/>
      <c r="D43" s="4"/>
      <c r="E43" s="3"/>
      <c r="F43" s="86" t="s">
        <v>37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7" t="s">
        <v>38</v>
      </c>
      <c r="D44" s="4"/>
      <c r="E44" s="3"/>
      <c r="F44" s="88" t="s">
        <v>39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D46" s="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B30:D30"/>
    <mergeCell ref="F30:G30"/>
    <mergeCell ref="B31:D31"/>
    <mergeCell ref="F31:G31"/>
    <mergeCell ref="A19:B19"/>
    <mergeCell ref="A28:B28"/>
    <mergeCell ref="A29:B29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