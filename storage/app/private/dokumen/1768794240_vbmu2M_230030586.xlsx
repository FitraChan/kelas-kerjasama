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NBPagsxlNArmHZWG3fv0Kw63LXj//o561aNk+0a/zL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ID#AAABGFQO2Js
MBC Consulting    (2024-02-07 00:17:38)
100.000 akumulasi dari pembayaran pendaftaran di mana pembayaran pendaftaran lebih 100.000</t>
      </text>
    </comment>
  </commentList>
  <extLst>
    <ext uri="GoogleSheetsCustomDataVersion2">
      <go:sheetsCustomData xmlns:go="http://customooxmlschemas.google.com/" r:id="rId1" roundtripDataSignature="AMtx7mhrU3gUL59InmLvSAn/nwaafCd3uw=="/>
    </ext>
  </extLst>
</comments>
</file>

<file path=xl/sharedStrings.xml><?xml version="1.0" encoding="utf-8"?>
<sst xmlns="http://schemas.openxmlformats.org/spreadsheetml/2006/main" count="50" uniqueCount="41">
  <si>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</si>
  <si>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</si>
  <si>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</si>
  <si>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230030586</t>
  </si>
  <si>
    <t>Nama     : Ketut Krisma Yudiastama</t>
  </si>
  <si>
    <t>Prodi      : S1-Sistem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</si>
  <si>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</si>
  <si>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</si>
  <si>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</si>
  <si>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</si>
  <si>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</si>
  <si>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</si>
  <si>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</si>
  <si>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</si>
  <si>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Genap 2023/2024</t>
  </si>
  <si>
    <t>Ganjil 2024/2025</t>
  </si>
  <si>
    <t>Genap 2024/2025</t>
  </si>
  <si>
    <t>Lunas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</si>
  <si>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</si>
  <si>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</si>
  <si>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</si>
  <si>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</si>
  <si>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Kelebihan bayar 100.000</t>
  </si>
  <si>
    <t>Almamater &amp; Orientasi</t>
  </si>
  <si>
    <t xml:space="preserve">Merupakan Mahasiswa RENIM 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</si>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</sst>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sz val="12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5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3" fillId="0" fontId="9" numFmtId="0" xfId="0" applyAlignment="1" applyBorder="1" applyFont="1">
      <alignment horizontal="right" vertical="bottom"/>
    </xf>
    <xf borderId="4" fillId="3" fontId="2" numFmtId="0" xfId="0" applyAlignment="1" applyBorder="1" applyFill="1" applyFont="1">
      <alignment shrinkToFit="0" vertical="bottom" wrapText="1"/>
    </xf>
    <xf borderId="4" fillId="0" fontId="2" numFmtId="164" xfId="0" applyAlignment="1" applyBorder="1" applyFont="1" applyNumberFormat="1">
      <alignment horizontal="right" vertical="bottom"/>
    </xf>
    <xf borderId="4" fillId="0" fontId="2" numFmtId="165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shrinkToFit="0" vertical="bottom" wrapText="1"/>
    </xf>
    <xf borderId="0" fillId="0" fontId="2" numFmtId="167" xfId="0" applyAlignment="1" applyFont="1" applyNumberFormat="1">
      <alignment vertical="bottom"/>
    </xf>
    <xf borderId="3" fillId="0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165" xfId="0" applyAlignment="1" applyBorder="1" applyFont="1" applyNumberFormat="1">
      <alignment readingOrder="0" vertical="bottom"/>
    </xf>
    <xf borderId="4" fillId="0" fontId="2" numFmtId="164" xfId="0" applyAlignment="1" applyBorder="1" applyFont="1" applyNumberFormat="1">
      <alignment vertical="bottom"/>
    </xf>
    <xf borderId="3" fillId="0" fontId="9" numFmtId="0" xfId="0" applyAlignment="1" applyBorder="1" applyFont="1">
      <alignment horizontal="right" readingOrder="0" vertical="bottom"/>
    </xf>
    <xf borderId="4" fillId="3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 vertical="bottom"/>
    </xf>
    <xf borderId="5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2" numFmtId="164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shrinkToFit="0" vertical="center" wrapText="1"/>
    </xf>
    <xf borderId="6" fillId="0" fontId="2" numFmtId="164" xfId="0" applyAlignment="1" applyBorder="1" applyFont="1" applyNumberFormat="1">
      <alignment horizontal="center" vertical="center"/>
    </xf>
    <xf borderId="6" fillId="0" fontId="2" numFmtId="165" xfId="0" applyAlignment="1" applyBorder="1" applyFont="1" applyNumberFormat="1">
      <alignment horizontal="center" readingOrder="0" shrinkToFit="0" vertical="center" wrapText="1"/>
    </xf>
    <xf borderId="6" fillId="0" fontId="2" numFmtId="164" xfId="0" applyAlignment="1" applyBorder="1" applyFont="1" applyNumberFormat="1">
      <alignment horizontal="center" readingOrder="0" shrinkToFit="0" vertical="center" wrapText="1"/>
    </xf>
    <xf borderId="6" fillId="3" fontId="2" numFmtId="164" xfId="0" applyAlignment="1" applyBorder="1" applyFont="1" applyNumberFormat="1">
      <alignment horizontal="center" vertical="center"/>
    </xf>
    <xf borderId="6" fillId="3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3" fillId="3" fontId="12" numFmtId="0" xfId="0" applyAlignment="1" applyBorder="1" applyFont="1">
      <alignment horizontal="center" vertical="bottom"/>
    </xf>
    <xf borderId="4" fillId="3" fontId="12" numFmtId="0" xfId="0" applyAlignment="1" applyBorder="1" applyFont="1">
      <alignment vertical="bottom"/>
    </xf>
    <xf borderId="6" fillId="0" fontId="13" numFmtId="164" xfId="0" applyAlignment="1" applyBorder="1" applyFont="1" applyNumberFormat="1">
      <alignment horizontal="center" readingOrder="0" vertical="center"/>
    </xf>
    <xf borderId="7" fillId="0" fontId="13" numFmtId="164" xfId="0" applyAlignment="1" applyBorder="1" applyFont="1" applyNumberForma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4" fillId="3" fontId="12" numFmtId="0" xfId="0" applyAlignment="1" applyBorder="1" applyFont="1">
      <alignment shrinkToFit="0" vertical="bottom" wrapText="1"/>
    </xf>
    <xf borderId="5" fillId="0" fontId="6" numFmtId="0" xfId="0" applyBorder="1" applyFont="1"/>
    <xf borderId="4" fillId="0" fontId="6" numFmtId="0" xfId="0" applyBorder="1" applyFont="1"/>
    <xf borderId="4" fillId="0" fontId="2" numFmtId="165" xfId="0" applyAlignment="1" applyBorder="1" applyFont="1" applyNumberFormat="1">
      <alignment vertical="bottom"/>
    </xf>
    <xf borderId="4" fillId="3" fontId="2" numFmtId="164" xfId="0" applyAlignment="1" applyBorder="1" applyFont="1" applyNumberFormat="1">
      <alignment vertical="bottom"/>
    </xf>
    <xf borderId="4" fillId="3" fontId="2" numFmtId="0" xfId="0" applyAlignment="1" applyBorder="1" applyFont="1">
      <alignment vertical="bottom"/>
    </xf>
    <xf borderId="5" fillId="2" fontId="10" numFmtId="0" xfId="0" applyAlignment="1" applyBorder="1" applyFont="1">
      <alignment horizontal="center" vertical="bottom"/>
    </xf>
    <xf borderId="4" fillId="2" fontId="10" numFmtId="0" xfId="0" applyAlignment="1" applyBorder="1" applyFont="1">
      <alignment horizontal="center" vertical="bottom"/>
    </xf>
    <xf borderId="4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5" fillId="4" fontId="14" numFmtId="0" xfId="0" applyAlignment="1" applyBorder="1" applyFill="1" applyFont="1">
      <alignment horizontal="center" vertical="bottom"/>
    </xf>
    <xf borderId="2" fillId="4" fontId="14" numFmtId="164" xfId="0" applyAlignment="1" applyBorder="1" applyFont="1" applyNumberFormat="1">
      <alignment horizontal="center" vertical="bottom"/>
    </xf>
    <xf borderId="4" fillId="4" fontId="14" numFmtId="0" xfId="0" applyAlignment="1" applyBorder="1" applyFont="1">
      <alignment horizontal="center" vertical="bottom"/>
    </xf>
    <xf borderId="4" fillId="4" fontId="14" numFmtId="164" xfId="0" applyAlignment="1" applyBorder="1" applyFont="1" applyNumberFormat="1">
      <alignment horizontal="center" vertical="bottom"/>
    </xf>
    <xf borderId="10" fillId="4" fontId="14" numFmtId="164" xfId="0" applyAlignment="1" applyBorder="1" applyFont="1" applyNumberFormat="1">
      <alignment horizontal="center" vertical="bottom"/>
    </xf>
    <xf borderId="10" fillId="4" fontId="2" numFmtId="0" xfId="0" applyAlignment="1" applyBorder="1" applyFont="1">
      <alignment vertical="bottom"/>
    </xf>
    <xf borderId="0" fillId="0" fontId="5" numFmtId="0" xfId="0" applyFont="1"/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1" fillId="0" fontId="12" numFmtId="0" xfId="0" applyAlignment="1" applyBorder="1" applyFont="1">
      <alignment vertical="bottom"/>
    </xf>
    <xf borderId="12" fillId="0" fontId="6" numFmtId="0" xfId="0" applyBorder="1" applyFont="1"/>
    <xf borderId="13" fillId="0" fontId="12" numFmtId="165" xfId="0" applyAlignment="1" applyBorder="1" applyFont="1" applyNumberFormat="1">
      <alignment vertical="bottom"/>
    </xf>
    <xf borderId="14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5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0" fillId="0" fontId="16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04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2.71"/>
    <col customWidth="1" min="3" max="7" width="19.0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>
        <v>1.0</v>
      </c>
      <c r="B14" s="22" t="s">
        <v>13</v>
      </c>
      <c r="C14" s="23">
        <v>5500000.0</v>
      </c>
      <c r="D14" s="24">
        <v>45173.0</v>
      </c>
      <c r="E14" s="23">
        <v>5500000.0</v>
      </c>
      <c r="F14" s="23">
        <f t="shared" ref="F14:F18" si="1">C14-E14</f>
        <v>0</v>
      </c>
      <c r="G14" s="25" t="str">
        <f t="shared" ref="G14:G16" si="2">if(E14&gt;=C14,"Lunas","Tunggakan")</f>
        <v>Lunas</v>
      </c>
      <c r="H14" s="2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>
        <v>2.0</v>
      </c>
      <c r="B15" s="28" t="s">
        <v>14</v>
      </c>
      <c r="C15" s="29">
        <v>5400000.0</v>
      </c>
      <c r="D15" s="30">
        <v>45328.0</v>
      </c>
      <c r="E15" s="29">
        <v>5400000.0</v>
      </c>
      <c r="F15" s="31">
        <f t="shared" si="1"/>
        <v>0</v>
      </c>
      <c r="G15" s="25" t="str">
        <f t="shared" si="2"/>
        <v>Lunas</v>
      </c>
      <c r="H15" s="2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2">
        <v>3.0</v>
      </c>
      <c r="B16" s="33" t="s">
        <v>15</v>
      </c>
      <c r="C16" s="23">
        <v>5500000.0</v>
      </c>
      <c r="D16" s="24">
        <v>45526.0</v>
      </c>
      <c r="E16" s="23">
        <v>5500000.0</v>
      </c>
      <c r="F16" s="23">
        <f t="shared" si="1"/>
        <v>0</v>
      </c>
      <c r="G16" s="25" t="str">
        <f t="shared" si="2"/>
        <v>Lunas</v>
      </c>
      <c r="H16" s="2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7">
        <v>4.0</v>
      </c>
      <c r="B17" s="28" t="s">
        <v>16</v>
      </c>
      <c r="C17" s="29">
        <v>5500000.0</v>
      </c>
      <c r="D17" s="30">
        <v>45702.0</v>
      </c>
      <c r="E17" s="29">
        <v>5500000.0</v>
      </c>
      <c r="F17" s="31">
        <f t="shared" si="1"/>
        <v>0</v>
      </c>
      <c r="G17" s="34" t="s">
        <v>17</v>
      </c>
      <c r="H17" s="2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">
        <v>5.0</v>
      </c>
      <c r="B18" s="28" t="s">
        <v>18</v>
      </c>
      <c r="C18" s="29">
        <v>5500000.0</v>
      </c>
      <c r="D18" s="30">
        <v>45901.0</v>
      </c>
      <c r="E18" s="29">
        <v>5500000.0</v>
      </c>
      <c r="F18" s="31">
        <f t="shared" si="1"/>
        <v>0</v>
      </c>
      <c r="G18" s="34" t="s">
        <v>17</v>
      </c>
      <c r="H18" s="2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5" t="s">
        <v>19</v>
      </c>
      <c r="B19" s="36"/>
      <c r="C19" s="37">
        <f>sum(C14:C18)</f>
        <v>27400000</v>
      </c>
      <c r="D19" s="38"/>
      <c r="E19" s="38">
        <f t="shared" ref="E19:F19" si="3">SUM(E14:E18)</f>
        <v>27400000</v>
      </c>
      <c r="F19" s="39">
        <f t="shared" si="3"/>
        <v>0</v>
      </c>
      <c r="G19" s="40"/>
      <c r="H19" s="2"/>
      <c r="I19" s="2"/>
      <c r="J19" s="2"/>
      <c r="K19" s="5"/>
      <c r="L19" s="6"/>
      <c r="M19" s="6"/>
      <c r="N19" s="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1"/>
      <c r="B20" s="41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2" t="s">
        <v>20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7</v>
      </c>
      <c r="B23" s="17" t="s">
        <v>8</v>
      </c>
      <c r="C23" s="18" t="s">
        <v>9</v>
      </c>
      <c r="D23" s="19" t="s">
        <v>10</v>
      </c>
      <c r="E23" s="18" t="s">
        <v>11</v>
      </c>
      <c r="F23" s="18" t="s">
        <v>12</v>
      </c>
      <c r="G23" s="17" t="s">
        <v>8</v>
      </c>
      <c r="H23" s="20"/>
      <c r="I23" s="20"/>
      <c r="J23" s="20"/>
      <c r="K23" s="43"/>
      <c r="L23" s="44"/>
      <c r="M23" s="44"/>
      <c r="N23" s="44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45">
        <v>1.0</v>
      </c>
      <c r="B24" s="46" t="s">
        <v>21</v>
      </c>
      <c r="C24" s="47">
        <v>300000.0</v>
      </c>
      <c r="D24" s="48">
        <v>45138.0</v>
      </c>
      <c r="E24" s="49">
        <v>400000.0</v>
      </c>
      <c r="F24" s="50">
        <f>C24-E24</f>
        <v>-100000</v>
      </c>
      <c r="G24" s="51" t="s">
        <v>22</v>
      </c>
      <c r="H24" s="52"/>
      <c r="M24" s="44"/>
      <c r="N24" s="44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53">
        <v>2.0</v>
      </c>
      <c r="B25" s="54" t="s">
        <v>23</v>
      </c>
      <c r="C25" s="55"/>
      <c r="D25" s="56" t="s">
        <v>24</v>
      </c>
      <c r="E25" s="57"/>
      <c r="F25" s="57"/>
      <c r="G25" s="58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3">
        <v>3.0</v>
      </c>
      <c r="B26" s="59" t="s">
        <v>25</v>
      </c>
      <c r="C26" s="55"/>
      <c r="D26" s="60"/>
      <c r="E26" s="36"/>
      <c r="F26" s="36"/>
      <c r="G26" s="61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3">
        <v>4.0</v>
      </c>
      <c r="B27" s="59" t="s">
        <v>26</v>
      </c>
      <c r="C27" s="29">
        <v>1250000.0</v>
      </c>
      <c r="D27" s="62"/>
      <c r="E27" s="31"/>
      <c r="F27" s="63"/>
      <c r="G27" s="64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5" t="s">
        <v>27</v>
      </c>
      <c r="B28" s="36"/>
      <c r="C28" s="37">
        <f>sum(C24:C27)</f>
        <v>1550000</v>
      </c>
      <c r="D28" s="66"/>
      <c r="E28" s="38">
        <f>sum(E24:E27)</f>
        <v>400000</v>
      </c>
      <c r="F28" s="38"/>
      <c r="G28" s="67"/>
      <c r="H28" s="68"/>
      <c r="I28" s="68"/>
      <c r="J28" s="68"/>
      <c r="K28" s="69"/>
      <c r="L28" s="70"/>
      <c r="M28" s="70"/>
      <c r="N28" s="70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71" t="s">
        <v>28</v>
      </c>
      <c r="B29" s="36"/>
      <c r="C29" s="72">
        <f>sum(C19+C28)</f>
        <v>28950000</v>
      </c>
      <c r="D29" s="73"/>
      <c r="E29" s="74">
        <f>E28+E19</f>
        <v>27800000</v>
      </c>
      <c r="F29" s="75">
        <f>F19+F28</f>
        <v>0</v>
      </c>
      <c r="G29" s="76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1"/>
      <c r="B30" s="77"/>
      <c r="E30" s="3"/>
      <c r="F30" s="77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8"/>
      <c r="B31" s="9"/>
      <c r="C31" s="10"/>
      <c r="D31" s="10"/>
      <c r="E31" s="79"/>
      <c r="F31" s="9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0" t="s">
        <v>29</v>
      </c>
      <c r="G32" s="81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0" t="s">
        <v>30</v>
      </c>
      <c r="G33" s="81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0" t="s">
        <v>31</v>
      </c>
      <c r="G34" s="81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2" t="s">
        <v>32</v>
      </c>
      <c r="B35" s="10"/>
      <c r="C35" s="10"/>
      <c r="D35" s="10"/>
      <c r="E35" s="10"/>
      <c r="F35" s="10"/>
      <c r="G35" s="83"/>
      <c r="H35" s="8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2"/>
      <c r="B36" s="2"/>
      <c r="C36" s="3"/>
      <c r="D36" s="4"/>
      <c r="E36" s="3"/>
      <c r="F36" s="85" t="s">
        <v>33</v>
      </c>
      <c r="G36" s="86">
        <v>45967.0</v>
      </c>
      <c r="H36" s="87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2"/>
      <c r="B37" s="3"/>
      <c r="C37" s="3"/>
      <c r="D37" s="4"/>
      <c r="E37" s="3"/>
      <c r="F37" s="88" t="s">
        <v>34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8" t="s">
        <v>35</v>
      </c>
      <c r="D38" s="4"/>
      <c r="E38" s="3"/>
      <c r="F38" s="88" t="s">
        <v>36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8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7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9" t="s">
        <v>37</v>
      </c>
      <c r="C43" s="10"/>
      <c r="D43" s="4"/>
      <c r="E43" s="3"/>
      <c r="F43" s="90" t="s">
        <v>38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1" t="s">
        <v>39</v>
      </c>
      <c r="D44" s="4"/>
      <c r="E44" s="3"/>
      <c r="F44" s="92" t="s">
        <v>40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7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7"/>
      <c r="D46" s="4"/>
      <c r="E46" s="77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1">
    <mergeCell ref="C2:G2"/>
    <mergeCell ref="C4:G4"/>
    <mergeCell ref="A5:G5"/>
    <mergeCell ref="A7:H7"/>
    <mergeCell ref="A8:H8"/>
    <mergeCell ref="A9:H9"/>
    <mergeCell ref="A10:G10"/>
    <mergeCell ref="F30:G30"/>
    <mergeCell ref="F31:G31"/>
    <mergeCell ref="F37:G37"/>
    <mergeCell ref="F41:G41"/>
    <mergeCell ref="F44:G44"/>
    <mergeCell ref="H24:L24"/>
    <mergeCell ref="B30:D30"/>
    <mergeCell ref="B31:D31"/>
    <mergeCell ref="A19:B19"/>
    <mergeCell ref="A28:B28"/>
    <mergeCell ref="D25:G26"/>
    <mergeCell ref="A29:B29"/>
    <mergeCell ref="B43:C43"/>
    <mergeCell ref="B44:C44"/>
    <mergeCell ref="E45:F45"/>
    <mergeCell ref="B46:C46"/>
    <mergeCell ref="E46:G46"/>
    <mergeCell ref="A32:G32"/>
    <mergeCell ref="A33:G33"/>
    <mergeCell ref="A34:G34"/>
    <mergeCell ref="A35:G35"/>
    <mergeCell ref="B38:C38"/>
    <mergeCell ref="F38:G38"/>
    <mergeCell ref="F43:G43"/>
  </mergeCell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