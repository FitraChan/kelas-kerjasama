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XkA9XTzRNXec3WbeB9A36jDun46hmo5bdvmey4ID7fk="/>
    </ext>
  </extLst>
</workbook>
</file>

<file path=xl/sharedStrings.xml><?xml version="1.0" encoding="utf-8"?>
<sst xmlns="http://schemas.openxmlformats.org/spreadsheetml/2006/main" count="46" uniqueCount="38">
  <si>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</si>
  <si>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</si>
  <si>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</si>
  <si>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240040161</t>
  </si>
  <si>
    <t>Nama     : Cahyadi Ramadhan</t>
  </si>
  <si>
    <t>Prodi      : S1- TEKNOLIGI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</si>
  <si>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</si>
  <si>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</si>
  <si>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</si>
  <si>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</si>
  <si>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</si>
  <si>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</si>
  <si>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</si>
  <si>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</si>
  <si>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>Genap 2024/2025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</si>
  <si>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</si>
  <si>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</si>
  <si>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</si>
  <si>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</si>
  <si>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</si>
  <si>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Lunas</t>
  </si>
  <si>
    <t>DPP</t>
  </si>
  <si>
    <t>Tunggakan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</si>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</sst>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readingOrder="0" vertical="center"/>
    </xf>
    <xf borderId="5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165" xfId="0" applyAlignment="1" applyBorder="1" applyFont="1" applyNumberFormat="1">
      <alignment vertical="center"/>
    </xf>
    <xf borderId="5" fillId="3" fontId="9" numFmtId="0" xfId="0" applyAlignment="1" applyBorder="1" applyFont="1">
      <alignment readingOrder="0" vertical="center"/>
    </xf>
    <xf borderId="5" fillId="3" fontId="9" numFmtId="0" xfId="0" applyAlignment="1" applyBorder="1" applyFont="1">
      <alignment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2" numFmtId="164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 readingOrder="0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vertical="center"/>
    </xf>
    <xf borderId="9" fillId="3" fontId="2" numFmtId="164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 readingOrder="0" vertical="center"/>
    </xf>
    <xf borderId="5" fillId="3" fontId="2" numFmtId="164" xfId="0" applyAlignment="1" applyBorder="1" applyFont="1" applyNumberFormat="1">
      <alignment horizontal="center" readingOrder="0" vertical="center"/>
    </xf>
    <xf borderId="9" fillId="3" fontId="2" numFmtId="164" xfId="0" applyAlignment="1" applyBorder="1" applyFont="1" applyNumberForma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0" fillId="0" fontId="2" numFmtId="0" xfId="0" applyAlignment="1" applyFont="1">
      <alignment shrinkToFit="0" vertical="center" wrapText="1"/>
    </xf>
    <xf borderId="5" fillId="3" fontId="2" numFmtId="165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6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8" fillId="4" fontId="10" numFmtId="164" xfId="0" applyAlignment="1" applyBorder="1" applyFont="1" applyNumberFormat="1">
      <alignment horizontal="center" vertical="center"/>
    </xf>
    <xf borderId="8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>
        <v>45941.0</v>
      </c>
      <c r="E14" s="24">
        <v>1000000.0</v>
      </c>
      <c r="F14" s="22">
        <f t="shared" ref="F14:F16" si="1">C14-E14</f>
        <v>5000000</v>
      </c>
      <c r="G14" s="25" t="str">
        <f t="shared" ref="G14:G16" si="2">if(E14&gt;=C14,"Lunas","Tunggakan")</f>
        <v>Tunggakan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/>
      <c r="W14" s="27"/>
      <c r="X14" s="27"/>
      <c r="Y14" s="27"/>
      <c r="Z14" s="27"/>
    </row>
    <row r="15">
      <c r="A15" s="28">
        <v>2.0</v>
      </c>
      <c r="B15" s="21" t="s">
        <v>14</v>
      </c>
      <c r="C15" s="24">
        <v>6000000.0</v>
      </c>
      <c r="D15" s="29"/>
      <c r="E15" s="22"/>
      <c r="F15" s="22">
        <f t="shared" si="1"/>
        <v>6000000</v>
      </c>
      <c r="G15" s="25" t="str">
        <f t="shared" si="2"/>
        <v>Tunggakan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/>
      <c r="W15" s="27"/>
      <c r="X15" s="27"/>
      <c r="Y15" s="27"/>
      <c r="Z15" s="27"/>
    </row>
    <row r="16">
      <c r="A16" s="28">
        <v>3.0</v>
      </c>
      <c r="B16" s="30" t="s">
        <v>15</v>
      </c>
      <c r="C16" s="24">
        <v>6000000.0</v>
      </c>
      <c r="D16" s="29"/>
      <c r="E16" s="22"/>
      <c r="F16" s="22">
        <f t="shared" si="1"/>
        <v>6000000</v>
      </c>
      <c r="G16" s="25" t="str">
        <f t="shared" si="2"/>
        <v>Tunggakan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/>
      <c r="W16" s="27"/>
      <c r="X16" s="27"/>
      <c r="Y16" s="27"/>
      <c r="Z16" s="27"/>
    </row>
    <row r="17">
      <c r="A17" s="20"/>
      <c r="B17" s="31"/>
      <c r="C17" s="22"/>
      <c r="D17" s="29"/>
      <c r="E17" s="22"/>
      <c r="F17" s="22"/>
      <c r="G17" s="25"/>
      <c r="H17" s="26"/>
      <c r="I17" s="32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3"/>
      <c r="B18" s="34"/>
      <c r="C18" s="35"/>
      <c r="D18" s="36"/>
      <c r="E18" s="35"/>
      <c r="F18" s="35"/>
      <c r="G18" s="25"/>
      <c r="H18" s="26"/>
      <c r="I18" s="32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37" t="s">
        <v>16</v>
      </c>
      <c r="B19" s="38"/>
      <c r="C19" s="39">
        <f>sum(C14:C18)</f>
        <v>18000000</v>
      </c>
      <c r="D19" s="40"/>
      <c r="E19" s="40">
        <f t="shared" ref="E19:F19" si="3">SUM(E14:E18)</f>
        <v>1000000</v>
      </c>
      <c r="F19" s="40">
        <f t="shared" si="3"/>
        <v>17000000</v>
      </c>
      <c r="G19" s="41"/>
      <c r="H19" s="42"/>
      <c r="I19" s="42"/>
      <c r="J19" s="42"/>
      <c r="K19" s="43"/>
      <c r="L19" s="44"/>
      <c r="M19" s="44"/>
      <c r="N19" s="44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/>
      <c r="B20" s="45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6" t="s">
        <v>17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7</v>
      </c>
      <c r="B23" s="17" t="s">
        <v>8</v>
      </c>
      <c r="C23" s="18" t="s">
        <v>9</v>
      </c>
      <c r="D23" s="19" t="s">
        <v>10</v>
      </c>
      <c r="E23" s="18" t="s">
        <v>11</v>
      </c>
      <c r="F23" s="18" t="s">
        <v>12</v>
      </c>
      <c r="G23" s="17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7">
        <v>1.0</v>
      </c>
      <c r="B24" s="48" t="s">
        <v>18</v>
      </c>
      <c r="C24" s="49">
        <v>400000.0</v>
      </c>
      <c r="D24" s="50">
        <v>45525.0</v>
      </c>
      <c r="E24" s="49">
        <v>400000.0</v>
      </c>
      <c r="F24" s="49">
        <f>C24-E24</f>
        <v>0</v>
      </c>
      <c r="G24" s="49" t="str">
        <f>if(E24&gt;=C24,"Lunas","Tunggakan")</f>
        <v>Lunas</v>
      </c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1">
        <v>2.0</v>
      </c>
      <c r="B25" s="52" t="s">
        <v>19</v>
      </c>
      <c r="C25" s="53">
        <v>1750000.0</v>
      </c>
      <c r="D25" s="54">
        <v>45573.0</v>
      </c>
      <c r="E25" s="55">
        <v>500000.0</v>
      </c>
      <c r="F25" s="53">
        <f>C25-E25-E26-E27-E28</f>
        <v>0</v>
      </c>
      <c r="G25" s="56" t="s">
        <v>20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7"/>
      <c r="B26" s="58"/>
      <c r="C26" s="57"/>
      <c r="D26" s="54">
        <v>45602.0</v>
      </c>
      <c r="E26" s="55">
        <v>500000.0</v>
      </c>
      <c r="F26" s="57"/>
      <c r="G26" s="57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9"/>
      <c r="B27" s="60"/>
      <c r="C27" s="59"/>
      <c r="D27" s="54">
        <v>45634.0</v>
      </c>
      <c r="E27" s="55">
        <v>500000.0</v>
      </c>
      <c r="F27" s="59"/>
      <c r="G27" s="59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7"/>
      <c r="B28" s="48"/>
      <c r="C28" s="49"/>
      <c r="D28" s="54">
        <v>45662.0</v>
      </c>
      <c r="E28" s="55">
        <v>250000.0</v>
      </c>
      <c r="F28" s="49"/>
      <c r="G28" s="49"/>
      <c r="H28" s="61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7">
        <v>3.0</v>
      </c>
      <c r="B29" s="48" t="s">
        <v>21</v>
      </c>
      <c r="C29" s="49">
        <v>9000000.0</v>
      </c>
      <c r="D29" s="62"/>
      <c r="E29" s="49">
        <v>0.0</v>
      </c>
      <c r="F29" s="49">
        <f>C29-E29</f>
        <v>9000000</v>
      </c>
      <c r="G29" s="49" t="s">
        <v>22</v>
      </c>
      <c r="H29" s="61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7">
        <v>4.0</v>
      </c>
      <c r="B30" s="48" t="s">
        <v>23</v>
      </c>
      <c r="C30" s="63"/>
      <c r="D30" s="64"/>
      <c r="E30" s="63"/>
      <c r="F30" s="65"/>
      <c r="G30" s="66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7" t="s">
        <v>24</v>
      </c>
      <c r="B31" s="38"/>
      <c r="C31" s="39">
        <f>sum(C24:C30)</f>
        <v>11150000</v>
      </c>
      <c r="D31" s="68"/>
      <c r="E31" s="40">
        <f>sum(E24:E30)</f>
        <v>2150000</v>
      </c>
      <c r="F31" s="40">
        <f>SUM(F24:F30)</f>
        <v>9000000</v>
      </c>
      <c r="G31" s="41"/>
      <c r="H31" s="42"/>
      <c r="I31" s="42"/>
      <c r="J31" s="42"/>
      <c r="K31" s="43"/>
      <c r="L31" s="44"/>
      <c r="M31" s="44"/>
      <c r="N31" s="44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69" t="s">
        <v>25</v>
      </c>
      <c r="B32" s="38"/>
      <c r="C32" s="70">
        <f>C19+C31</f>
        <v>29150000</v>
      </c>
      <c r="D32" s="71"/>
      <c r="E32" s="72">
        <f>E31+E19</f>
        <v>3150000</v>
      </c>
      <c r="F32" s="73">
        <f>F19+F31</f>
        <v>26000000</v>
      </c>
      <c r="G32" s="74"/>
      <c r="H32" s="42"/>
      <c r="I32" s="42"/>
      <c r="J32" s="42"/>
      <c r="K32" s="43"/>
      <c r="L32" s="44"/>
      <c r="M32" s="44"/>
      <c r="N32" s="44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5"/>
      <c r="B33" s="75"/>
      <c r="E33" s="3"/>
      <c r="F33" s="76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7"/>
      <c r="B34" s="9"/>
      <c r="C34" s="10"/>
      <c r="D34" s="10"/>
      <c r="E34" s="78"/>
      <c r="F34" s="79"/>
      <c r="G34" s="1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0" t="s">
        <v>26</v>
      </c>
      <c r="G35" s="81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0" t="s">
        <v>27</v>
      </c>
      <c r="G36" s="81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0" t="s">
        <v>28</v>
      </c>
      <c r="G37" s="81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2" t="s">
        <v>29</v>
      </c>
      <c r="B38" s="10"/>
      <c r="C38" s="10"/>
      <c r="D38" s="10"/>
      <c r="E38" s="10"/>
      <c r="F38" s="10"/>
      <c r="G38" s="83"/>
      <c r="H38" s="4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7.5" customHeight="1">
      <c r="A39" s="2"/>
      <c r="B39" s="2"/>
      <c r="C39" s="3"/>
      <c r="D39" s="4"/>
      <c r="E39" s="3"/>
      <c r="F39" s="84" t="s">
        <v>30</v>
      </c>
      <c r="G39" s="85">
        <v>45662.0</v>
      </c>
      <c r="H39" s="86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5.25" customHeight="1">
      <c r="A40" s="2"/>
      <c r="B40" s="3"/>
      <c r="C40" s="3"/>
      <c r="D40" s="4"/>
      <c r="E40" s="3"/>
      <c r="F40" s="87" t="s">
        <v>31</v>
      </c>
      <c r="H40" s="3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87" t="s">
        <v>32</v>
      </c>
      <c r="D41" s="4"/>
      <c r="E41" s="3"/>
      <c r="F41" s="87" t="s">
        <v>33</v>
      </c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3"/>
      <c r="G42" s="4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3"/>
      <c r="F43" s="3"/>
      <c r="G43" s="2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3"/>
      <c r="F44" s="76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3"/>
      <c r="C45" s="3"/>
      <c r="D45" s="4"/>
      <c r="E45" s="3"/>
      <c r="F45" s="3"/>
      <c r="G45" s="3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88" t="s">
        <v>34</v>
      </c>
      <c r="C46" s="10"/>
      <c r="D46" s="4"/>
      <c r="E46" s="3"/>
      <c r="F46" s="89" t="s">
        <v>35</v>
      </c>
      <c r="G46" s="10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90" t="s">
        <v>36</v>
      </c>
      <c r="D47" s="4"/>
      <c r="E47" s="3"/>
      <c r="F47" s="91" t="s">
        <v>37</v>
      </c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76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75"/>
      <c r="D49" s="4"/>
      <c r="E49" s="76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5"/>
      <c r="L971" s="6"/>
      <c r="M971" s="6"/>
      <c r="N971" s="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4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4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34">
    <mergeCell ref="C2:G2"/>
    <mergeCell ref="C4:G4"/>
    <mergeCell ref="A5:G5"/>
    <mergeCell ref="A7:H7"/>
    <mergeCell ref="A8:H8"/>
    <mergeCell ref="A9:H9"/>
    <mergeCell ref="A10:G10"/>
    <mergeCell ref="A19:B19"/>
    <mergeCell ref="A25:A27"/>
    <mergeCell ref="B25:B27"/>
    <mergeCell ref="C25:C27"/>
    <mergeCell ref="F25:F27"/>
    <mergeCell ref="G25:G27"/>
    <mergeCell ref="A31:B31"/>
    <mergeCell ref="A32:B32"/>
    <mergeCell ref="B33:D33"/>
    <mergeCell ref="F33:G33"/>
    <mergeCell ref="B34:D34"/>
    <mergeCell ref="F34:G34"/>
    <mergeCell ref="A35:G35"/>
    <mergeCell ref="A36:G36"/>
    <mergeCell ref="B46:C46"/>
    <mergeCell ref="B47:C47"/>
    <mergeCell ref="B49:C49"/>
    <mergeCell ref="F47:G47"/>
    <mergeCell ref="E48:F48"/>
    <mergeCell ref="E49:G49"/>
    <mergeCell ref="A37:G37"/>
    <mergeCell ref="A38:G38"/>
    <mergeCell ref="F40:G40"/>
    <mergeCell ref="B41:C41"/>
    <mergeCell ref="F41:G41"/>
    <mergeCell ref="F44:G44"/>
    <mergeCell ref="F46:G46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