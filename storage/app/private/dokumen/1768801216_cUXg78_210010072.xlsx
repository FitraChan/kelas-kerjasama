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Bqord5Jnmba0SQO33Z1QU0+QaGESbYB1mQqRdA6GYj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======
ID#AAABVzjKa7Y
MBC Consulting    (2024-09-11 02:07:00)
membuat pengalihan 036/MBC/X/2023 
sudah dialihkan 15 Februari 2024 (2.500.000 acc dialihkan 500.000 sebagai admin di stikom)</t>
      </text>
    </comment>
    <comment authorId="0" ref="C14">
      <text>
        <t xml:space="preserve">======
ID#AAAA-wN7ACg
MBC Consulting    (2023-10-21 05:50:21)
Mahasiswa mendapat beasiswa kelas unggulan sebesar 25% dari total pembayaran 5.500.000</t>
      </text>
    </comment>
  </commentList>
  <extLst>
    <ext uri="GoogleSheetsCustomDataVersion2">
      <go:sheetsCustomData xmlns:go="http://customooxmlschemas.google.com/" r:id="rId1" roundtripDataSignature="AMtx7mixvaMFM8Cxk3TLbQ6wuGQQyTX9aA=="/>
    </ext>
  </extLst>
</comments>
</file>

<file path=xl/sharedStrings.xml><?xml version="1.0" encoding="utf-8"?>
<sst xmlns="http://schemas.openxmlformats.org/spreadsheetml/2006/main" count="51" uniqueCount="42">
  <si>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</si>
  <si>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</si>
  <si>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</si>
  <si>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210010072</t>
  </si>
  <si>
    <t>Nama     : I Nyoman Kembar Wira Adi Guna</t>
  </si>
  <si>
    <t>Prodi      : Sistem Komputer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</si>
  <si>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</si>
  <si>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</si>
  <si>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</si>
  <si>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</si>
  <si>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</si>
  <si>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</si>
  <si>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</si>
  <si>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</si>
  <si>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Reguler</t>
  </si>
  <si>
    <t>Lunas</t>
  </si>
  <si>
    <t>Genap 2023/2024</t>
  </si>
  <si>
    <t>Cuti Ganjil 2024/2025</t>
  </si>
  <si>
    <t>Cuti genap 2024/2025</t>
  </si>
  <si>
    <t>Ganjil 2025/2026</t>
  </si>
  <si>
    <t xml:space="preserve">Tunggakan 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</si>
  <si>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</si>
  <si>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</si>
  <si>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</si>
  <si>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Mahasiswa Pindahan Dari Reguler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</si>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</sst>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sz val="14.0"/>
      <color theme="1"/>
      <name val="Calibri"/>
    </font>
    <font>
      <sz val="16.0"/>
      <color rgb="FF000000"/>
      <name val="&quot;Times New Roman&quot;"/>
    </font>
    <font>
      <sz val="12.0"/>
      <color theme="1"/>
      <name val="&quot;Times New Roman&quot;"/>
    </font>
    <font>
      <b/>
      <sz val="17.0"/>
      <color theme="1"/>
      <name val="Calibri"/>
    </font>
    <font>
      <b/>
      <sz val="14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Font="1"/>
    <xf borderId="5" fillId="0" fontId="9" numFmtId="0" xfId="0" applyAlignment="1" applyBorder="1" applyFont="1">
      <alignment horizontal="right" vertical="center"/>
    </xf>
    <xf borderId="6" fillId="3" fontId="2" numFmtId="0" xfId="0" applyAlignment="1" applyBorder="1" applyFill="1" applyFont="1">
      <alignment shrinkToFit="0" vertical="center" wrapText="1"/>
    </xf>
    <xf borderId="6" fillId="0" fontId="2" numFmtId="164" xfId="0" applyAlignment="1" applyBorder="1" applyFont="1" applyNumberFormat="1">
      <alignment horizontal="right" vertical="center"/>
    </xf>
    <xf borderId="4" fillId="0" fontId="2" numFmtId="0" xfId="0" applyAlignment="1" applyBorder="1" applyFont="1">
      <alignment horizontal="right" readingOrder="0" vertical="center"/>
    </xf>
    <xf borderId="4" fillId="0" fontId="2" numFmtId="164" xfId="0" applyAlignment="1" applyBorder="1" applyFont="1" applyNumberFormat="1">
      <alignment horizontal="right" readingOrder="0" vertical="center"/>
    </xf>
    <xf borderId="6" fillId="0" fontId="2" numFmtId="0" xfId="0" applyAlignment="1" applyBorder="1" applyFont="1">
      <alignment readingOrder="0" shrinkToFit="0" vertical="center" wrapText="1"/>
    </xf>
    <xf borderId="0" fillId="0" fontId="2" numFmtId="167" xfId="0" applyAlignment="1" applyFont="1" applyNumberFormat="1">
      <alignment vertical="bottom"/>
    </xf>
    <xf borderId="3" fillId="0" fontId="6" numFmtId="0" xfId="0" applyBorder="1" applyFont="1"/>
    <xf borderId="4" fillId="0" fontId="6" numFmtId="0" xfId="0" applyBorder="1" applyFont="1"/>
    <xf borderId="4" fillId="0" fontId="2" numFmtId="166" xfId="0" applyAlignment="1" applyBorder="1" applyFont="1" applyNumberFormat="1">
      <alignment readingOrder="0" vertical="center"/>
    </xf>
    <xf borderId="4" fillId="0" fontId="2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horizontal="right" readingOrder="0" vertical="center"/>
    </xf>
    <xf borderId="6" fillId="3" fontId="2" numFmtId="0" xfId="0" applyAlignment="1" applyBorder="1" applyFont="1">
      <alignment readingOrder="0" shrinkToFit="0" vertical="center" wrapText="1"/>
    </xf>
    <xf borderId="6" fillId="0" fontId="2" numFmtId="164" xfId="0" applyAlignment="1" applyBorder="1" applyFont="1" applyNumberFormat="1">
      <alignment horizontal="right" readingOrder="0" vertical="center"/>
    </xf>
    <xf borderId="4" fillId="0" fontId="2" numFmtId="165" xfId="0" applyAlignment="1" applyBorder="1" applyFont="1" applyNumberFormat="1">
      <alignment horizontal="right" readingOrder="0" vertical="center"/>
    </xf>
    <xf borderId="3" fillId="0" fontId="2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4" fillId="0" fontId="2" numFmtId="165" xfId="0" applyAlignment="1" applyBorder="1" applyFont="1" applyNumberFormat="1">
      <alignment readingOrder="0"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4" fillId="0" fontId="2" numFmtId="165" xfId="0" applyAlignment="1" applyBorder="1" applyFont="1" applyNumberFormat="1">
      <alignment vertical="center"/>
    </xf>
    <xf borderId="7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1" numFmtId="164" xfId="0" applyAlignment="1" applyBorder="1" applyFont="1" applyNumberFormat="1">
      <alignment horizontal="center" vertical="center"/>
    </xf>
    <xf borderId="4" fillId="2" fontId="11" numFmtId="0" xfId="0" applyAlignment="1" applyBorder="1" applyFont="1">
      <alignment vertical="center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3" fontId="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3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shrinkToFit="0" vertical="center" wrapText="1"/>
    </xf>
    <xf borderId="4" fillId="0" fontId="2" numFmtId="164" xfId="0" applyAlignment="1" applyBorder="1" applyFont="1" applyNumberFormat="1">
      <alignment horizontal="right" vertical="center"/>
    </xf>
    <xf borderId="0" fillId="0" fontId="14" numFmtId="0" xfId="0" applyAlignment="1" applyFont="1">
      <alignment horizontal="center" readingOrder="0" vertical="center"/>
    </xf>
    <xf borderId="6" fillId="0" fontId="6" numFmtId="0" xfId="0" applyBorder="1" applyFont="1"/>
    <xf borderId="4" fillId="3" fontId="13" numFmtId="0" xfId="0" applyAlignment="1" applyBorder="1" applyFont="1">
      <alignment vertical="center"/>
    </xf>
    <xf borderId="4" fillId="3" fontId="2" numFmtId="164" xfId="0" applyAlignment="1" applyBorder="1" applyFont="1" applyNumberFormat="1">
      <alignment vertical="center"/>
    </xf>
    <xf borderId="7" fillId="2" fontId="9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center" readingOrder="0" vertical="center"/>
    </xf>
    <xf borderId="4" fillId="2" fontId="9" numFmtId="0" xfId="0" applyAlignment="1" applyBorder="1" applyFont="1">
      <alignment horizontal="center" vertical="center"/>
    </xf>
    <xf borderId="4" fillId="2" fontId="9" numFmtId="164" xfId="0" applyAlignment="1" applyBorder="1" applyFont="1" applyNumberFormat="1">
      <alignment horizontal="center" vertical="center"/>
    </xf>
    <xf borderId="7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6" fillId="4" fontId="15" numFmtId="164" xfId="0" applyAlignment="1" applyBorder="1" applyFont="1" applyNumberFormat="1">
      <alignment horizontal="center" vertical="center"/>
    </xf>
    <xf borderId="6" fillId="4" fontId="11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8" fillId="0" fontId="13" numFmtId="0" xfId="0" applyAlignment="1" applyBorder="1" applyFont="1">
      <alignment vertical="center"/>
    </xf>
    <xf borderId="9" fillId="0" fontId="6" numFmtId="0" xfId="0" applyBorder="1" applyFont="1"/>
    <xf borderId="10" fillId="0" fontId="13" numFmtId="165" xfId="0" applyAlignment="1" applyBorder="1" applyFont="1" applyNumberFormat="1">
      <alignment vertical="center"/>
    </xf>
    <xf borderId="11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6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vertical="center"/>
    </xf>
    <xf borderId="0" fillId="0" fontId="17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66875" cy="1114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5.86"/>
    <col customWidth="1" min="3" max="7" width="19.14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3.5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6</v>
      </c>
      <c r="B12" s="14"/>
      <c r="C12" s="15"/>
      <c r="D12" s="16"/>
      <c r="E12" s="15"/>
      <c r="F12" s="15"/>
      <c r="G12" s="1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>
        <v>1.0</v>
      </c>
      <c r="B14" s="23" t="s">
        <v>13</v>
      </c>
      <c r="C14" s="24">
        <f>5500000*75%</f>
        <v>4125000</v>
      </c>
      <c r="D14" s="25" t="s">
        <v>14</v>
      </c>
      <c r="E14" s="26">
        <v>3000000.0</v>
      </c>
      <c r="F14" s="24">
        <f>C14-E14-E15</f>
        <v>0</v>
      </c>
      <c r="G14" s="27" t="s">
        <v>15</v>
      </c>
      <c r="H14" s="5"/>
      <c r="I14" s="2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9"/>
      <c r="B15" s="30"/>
      <c r="C15" s="30"/>
      <c r="D15" s="31">
        <v>45240.0</v>
      </c>
      <c r="E15" s="32">
        <v>1125000.0</v>
      </c>
      <c r="F15" s="30"/>
      <c r="G15" s="30"/>
      <c r="H15" s="5"/>
      <c r="I15" s="2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3">
        <v>2.0</v>
      </c>
      <c r="B16" s="34" t="s">
        <v>16</v>
      </c>
      <c r="C16" s="35">
        <v>5500000.0</v>
      </c>
      <c r="D16" s="36">
        <v>45328.0</v>
      </c>
      <c r="E16" s="26">
        <v>3000000.0</v>
      </c>
      <c r="F16" s="24">
        <f>C16-E16-E17</f>
        <v>0</v>
      </c>
      <c r="G16" s="27" t="str">
        <f>IF(C16&gt;=F16,"Lunas","Tunggakan")</f>
        <v>Lunas</v>
      </c>
      <c r="H16" s="5"/>
      <c r="I16" s="2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9"/>
      <c r="B17" s="30"/>
      <c r="C17" s="30"/>
      <c r="D17" s="31">
        <v>45413.0</v>
      </c>
      <c r="E17" s="32">
        <v>2500000.0</v>
      </c>
      <c r="F17" s="30"/>
      <c r="G17" s="30"/>
      <c r="H17" s="5"/>
      <c r="I17" s="2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7">
        <v>3.0</v>
      </c>
      <c r="B18" s="38" t="s">
        <v>17</v>
      </c>
      <c r="C18" s="32">
        <v>1000000.0</v>
      </c>
      <c r="D18" s="39">
        <v>45901.0</v>
      </c>
      <c r="E18" s="32">
        <v>1000000.0</v>
      </c>
      <c r="F18" s="40">
        <f t="shared" ref="F18:F20" si="1">C18-E18</f>
        <v>0</v>
      </c>
      <c r="G18" s="41" t="str">
        <f>IF(E18&gt;=C18,"Lunas","Tunggakan")</f>
        <v>Lunas</v>
      </c>
      <c r="H18" s="5"/>
      <c r="I18" s="28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7">
        <v>4.0</v>
      </c>
      <c r="B19" s="38" t="s">
        <v>18</v>
      </c>
      <c r="C19" s="32">
        <v>1000000.0</v>
      </c>
      <c r="D19" s="39">
        <v>45901.0</v>
      </c>
      <c r="E19" s="32">
        <v>1000000.0</v>
      </c>
      <c r="F19" s="40">
        <f t="shared" si="1"/>
        <v>0</v>
      </c>
      <c r="G19" s="42" t="s">
        <v>15</v>
      </c>
      <c r="H19" s="5"/>
      <c r="I19" s="28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7">
        <v>5.0</v>
      </c>
      <c r="B20" s="38" t="s">
        <v>19</v>
      </c>
      <c r="C20" s="32">
        <v>5500000.0</v>
      </c>
      <c r="D20" s="39">
        <v>45901.0</v>
      </c>
      <c r="E20" s="32">
        <v>1000000.0</v>
      </c>
      <c r="F20" s="40">
        <f t="shared" si="1"/>
        <v>4500000</v>
      </c>
      <c r="G20" s="42" t="s">
        <v>20</v>
      </c>
      <c r="H20" s="5"/>
      <c r="I20" s="28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3"/>
      <c r="B21" s="44"/>
      <c r="C21" s="40"/>
      <c r="D21" s="45"/>
      <c r="E21" s="40"/>
      <c r="F21" s="40"/>
      <c r="G21" s="41"/>
      <c r="H21" s="5"/>
      <c r="I21" s="28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3"/>
      <c r="B22" s="44"/>
      <c r="C22" s="40"/>
      <c r="D22" s="45"/>
      <c r="E22" s="40"/>
      <c r="F22" s="40"/>
      <c r="G22" s="41"/>
      <c r="H22" s="5"/>
      <c r="I22" s="28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3"/>
      <c r="B23" s="44"/>
      <c r="C23" s="40"/>
      <c r="D23" s="45"/>
      <c r="E23" s="40"/>
      <c r="F23" s="40"/>
      <c r="G23" s="41"/>
      <c r="H23" s="5"/>
      <c r="I23" s="28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3"/>
      <c r="B24" s="44"/>
      <c r="C24" s="40"/>
      <c r="D24" s="45"/>
      <c r="E24" s="40"/>
      <c r="F24" s="40"/>
      <c r="G24" s="41"/>
      <c r="H24" s="5"/>
      <c r="I24" s="28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6" t="s">
        <v>21</v>
      </c>
      <c r="B25" s="47"/>
      <c r="C25" s="48">
        <f>sum(C14:C24)</f>
        <v>17125000</v>
      </c>
      <c r="D25" s="49"/>
      <c r="E25" s="49">
        <f>SUM(E14:E20)</f>
        <v>12625000</v>
      </c>
      <c r="F25" s="50">
        <f>SUM(F14:F18)</f>
        <v>0</v>
      </c>
      <c r="G25" s="51"/>
      <c r="H25" s="52"/>
      <c r="I25" s="52"/>
      <c r="J25" s="52"/>
      <c r="K25" s="53"/>
      <c r="L25" s="54"/>
      <c r="M25" s="54"/>
      <c r="N25" s="54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5"/>
      <c r="B26" s="55"/>
      <c r="C26" s="3"/>
      <c r="D26" s="4"/>
      <c r="E26" s="3"/>
      <c r="F26" s="3"/>
      <c r="G26" s="2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6" t="s">
        <v>22</v>
      </c>
      <c r="B27" s="2"/>
      <c r="C27" s="3"/>
      <c r="D27" s="4"/>
      <c r="E27" s="3"/>
      <c r="F27" s="3"/>
      <c r="G27" s="2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4"/>
      <c r="B28" s="14"/>
      <c r="C28" s="15"/>
      <c r="D28" s="16"/>
      <c r="E28" s="15"/>
      <c r="F28" s="15"/>
      <c r="G28" s="14"/>
      <c r="H28" s="5"/>
      <c r="I28" s="5"/>
      <c r="J28" s="5"/>
      <c r="K28" s="6"/>
      <c r="L28" s="7"/>
      <c r="M28" s="7"/>
      <c r="N28" s="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7" t="s">
        <v>7</v>
      </c>
      <c r="B29" s="18" t="s">
        <v>8</v>
      </c>
      <c r="C29" s="19" t="s">
        <v>9</v>
      </c>
      <c r="D29" s="20" t="s">
        <v>10</v>
      </c>
      <c r="E29" s="19" t="s">
        <v>11</v>
      </c>
      <c r="F29" s="19" t="s">
        <v>12</v>
      </c>
      <c r="G29" s="18" t="s">
        <v>8</v>
      </c>
      <c r="H29" s="5"/>
      <c r="I29" s="5"/>
      <c r="J29" s="5"/>
      <c r="K29" s="6"/>
      <c r="L29" s="7"/>
      <c r="M29" s="7"/>
      <c r="N29" s="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7">
        <v>1.0</v>
      </c>
      <c r="B30" s="58" t="s">
        <v>23</v>
      </c>
      <c r="C30" s="59">
        <v>300000.0</v>
      </c>
      <c r="D30" s="60" t="s">
        <v>24</v>
      </c>
      <c r="G30" s="61"/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7">
        <v>2.0</v>
      </c>
      <c r="B31" s="62" t="s">
        <v>25</v>
      </c>
      <c r="C31" s="59">
        <v>1350000.0</v>
      </c>
      <c r="G31" s="61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7">
        <v>3.0</v>
      </c>
      <c r="B32" s="58" t="s">
        <v>26</v>
      </c>
      <c r="C32" s="59">
        <v>8000000.0</v>
      </c>
      <c r="D32" s="47"/>
      <c r="E32" s="47"/>
      <c r="F32" s="47"/>
      <c r="G32" s="30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7">
        <v>4.0</v>
      </c>
      <c r="B33" s="58" t="s">
        <v>27</v>
      </c>
      <c r="C33" s="40"/>
      <c r="D33" s="45"/>
      <c r="E33" s="40"/>
      <c r="F33" s="63"/>
      <c r="G33" s="44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4" t="s">
        <v>28</v>
      </c>
      <c r="B34" s="47"/>
      <c r="C34" s="65">
        <v>0.0</v>
      </c>
      <c r="D34" s="66"/>
      <c r="E34" s="67">
        <f>sum(E30:E33)</f>
        <v>0</v>
      </c>
      <c r="F34" s="67">
        <f>SUM(F30:F33)</f>
        <v>0</v>
      </c>
      <c r="G34" s="51"/>
      <c r="H34" s="52"/>
      <c r="I34" s="52"/>
      <c r="J34" s="52"/>
      <c r="K34" s="53"/>
      <c r="L34" s="54"/>
      <c r="M34" s="54"/>
      <c r="N34" s="54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68" t="s">
        <v>29</v>
      </c>
      <c r="B35" s="47"/>
      <c r="C35" s="69">
        <f>C25+C34</f>
        <v>17125000</v>
      </c>
      <c r="D35" s="70"/>
      <c r="E35" s="71">
        <f>E34+E25</f>
        <v>12625000</v>
      </c>
      <c r="F35" s="72">
        <f>F25+F34</f>
        <v>0</v>
      </c>
      <c r="G35" s="73"/>
      <c r="H35" s="52"/>
      <c r="I35" s="52"/>
      <c r="J35" s="52"/>
      <c r="K35" s="53"/>
      <c r="L35" s="54"/>
      <c r="M35" s="54"/>
      <c r="N35" s="54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55"/>
      <c r="B36" s="74"/>
      <c r="E36" s="3"/>
      <c r="F36" s="74"/>
      <c r="H36" s="5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5"/>
      <c r="B37" s="10"/>
      <c r="C37" s="11"/>
      <c r="D37" s="11"/>
      <c r="E37" s="76"/>
      <c r="F37" s="10"/>
      <c r="G37" s="11"/>
      <c r="H37" s="5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7" t="s">
        <v>30</v>
      </c>
      <c r="G38" s="78"/>
      <c r="H38" s="5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7" t="s">
        <v>31</v>
      </c>
      <c r="G39" s="78"/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7" t="s">
        <v>32</v>
      </c>
      <c r="G40" s="78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9" t="s">
        <v>33</v>
      </c>
      <c r="B41" s="11"/>
      <c r="C41" s="11"/>
      <c r="D41" s="11"/>
      <c r="E41" s="11"/>
      <c r="F41" s="11"/>
      <c r="G41" s="80"/>
      <c r="H41" s="81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6.25" customHeight="1">
      <c r="A42" s="2"/>
      <c r="B42" s="2"/>
      <c r="C42" s="3"/>
      <c r="D42" s="4"/>
      <c r="E42" s="3"/>
      <c r="F42" s="82" t="s">
        <v>34</v>
      </c>
      <c r="G42" s="83">
        <v>45413.0</v>
      </c>
      <c r="H42" s="84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8.5" customHeight="1">
      <c r="A43" s="2"/>
      <c r="B43" s="3"/>
      <c r="C43" s="3"/>
      <c r="D43" s="4"/>
      <c r="E43" s="3"/>
      <c r="F43" s="85" t="s">
        <v>35</v>
      </c>
      <c r="H43" s="86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85" t="s">
        <v>36</v>
      </c>
      <c r="D44" s="4"/>
      <c r="E44" s="3"/>
      <c r="F44" s="85" t="s">
        <v>37</v>
      </c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2"/>
      <c r="C45" s="3"/>
      <c r="D45" s="4"/>
      <c r="E45" s="3"/>
      <c r="F45" s="3"/>
      <c r="G45" s="4"/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2"/>
      <c r="C46" s="3"/>
      <c r="D46" s="4"/>
      <c r="E46" s="3"/>
      <c r="F46" s="3"/>
      <c r="G46" s="2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2"/>
      <c r="C47" s="3"/>
      <c r="D47" s="4"/>
      <c r="E47" s="3"/>
      <c r="F47" s="74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3"/>
      <c r="C48" s="3"/>
      <c r="D48" s="4"/>
      <c r="E48" s="3"/>
      <c r="F48" s="3"/>
      <c r="G48" s="3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87" t="s">
        <v>38</v>
      </c>
      <c r="C49" s="11"/>
      <c r="D49" s="4"/>
      <c r="E49" s="3"/>
      <c r="F49" s="87" t="s">
        <v>39</v>
      </c>
      <c r="G49" s="11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88" t="s">
        <v>40</v>
      </c>
      <c r="D50" s="4"/>
      <c r="E50" s="3"/>
      <c r="F50" s="89" t="s">
        <v>41</v>
      </c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74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74"/>
      <c r="D52" s="4"/>
      <c r="E52" s="74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6"/>
      <c r="L969" s="7"/>
      <c r="M969" s="7"/>
      <c r="N969" s="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6"/>
      <c r="L970" s="7"/>
      <c r="M970" s="7"/>
      <c r="N970" s="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6"/>
      <c r="L971" s="7"/>
      <c r="M971" s="7"/>
      <c r="N971" s="7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6"/>
      <c r="L972" s="7"/>
      <c r="M972" s="7"/>
      <c r="N972" s="7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6"/>
      <c r="L973" s="7"/>
      <c r="M973" s="7"/>
      <c r="N973" s="7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6"/>
      <c r="L974" s="7"/>
      <c r="M974" s="7"/>
      <c r="N974" s="7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4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4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4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4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4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4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2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2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2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2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2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2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B1002" s="2"/>
      <c r="C1002" s="3"/>
      <c r="D1002" s="2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"/>
      <c r="B1003" s="2"/>
      <c r="C1003" s="3"/>
      <c r="D1003" s="2"/>
      <c r="E1003" s="3"/>
      <c r="F1003" s="3"/>
      <c r="G1003" s="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2"/>
      <c r="B1004" s="2"/>
      <c r="C1004" s="3"/>
      <c r="D1004" s="2"/>
      <c r="E1004" s="3"/>
      <c r="F1004" s="3"/>
      <c r="G1004" s="2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2"/>
      <c r="B1005" s="2"/>
      <c r="C1005" s="3"/>
      <c r="D1005" s="2"/>
      <c r="E1005" s="3"/>
      <c r="F1005" s="3"/>
      <c r="G1005" s="2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2"/>
      <c r="B1006" s="2"/>
      <c r="C1006" s="3"/>
      <c r="D1006" s="2"/>
      <c r="E1006" s="3"/>
      <c r="F1006" s="3"/>
      <c r="G1006" s="2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2"/>
      <c r="B1007" s="2"/>
      <c r="C1007" s="3"/>
      <c r="D1007" s="2"/>
      <c r="E1007" s="3"/>
      <c r="F1007" s="3"/>
      <c r="G1007" s="2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2"/>
      <c r="B1008" s="2"/>
      <c r="C1008" s="3"/>
      <c r="D1008" s="2"/>
      <c r="E1008" s="3"/>
      <c r="F1008" s="3"/>
      <c r="G1008" s="2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mergeCells count="40">
    <mergeCell ref="C2:G2"/>
    <mergeCell ref="C4:G4"/>
    <mergeCell ref="A5:G5"/>
    <mergeCell ref="A7:H7"/>
    <mergeCell ref="A8:H8"/>
    <mergeCell ref="A9:H9"/>
    <mergeCell ref="A10:G10"/>
    <mergeCell ref="F14:F15"/>
    <mergeCell ref="F16:F17"/>
    <mergeCell ref="D30:G32"/>
    <mergeCell ref="F36:G36"/>
    <mergeCell ref="F37:G37"/>
    <mergeCell ref="A14:A15"/>
    <mergeCell ref="B14:B15"/>
    <mergeCell ref="C14:C15"/>
    <mergeCell ref="G14:G15"/>
    <mergeCell ref="A16:A17"/>
    <mergeCell ref="B16:B17"/>
    <mergeCell ref="G16:G17"/>
    <mergeCell ref="C16:C17"/>
    <mergeCell ref="B36:D36"/>
    <mergeCell ref="B37:D37"/>
    <mergeCell ref="A38:G38"/>
    <mergeCell ref="A25:B25"/>
    <mergeCell ref="A34:B34"/>
    <mergeCell ref="A35:B35"/>
    <mergeCell ref="B49:C49"/>
    <mergeCell ref="F49:G49"/>
    <mergeCell ref="B50:C50"/>
    <mergeCell ref="F50:G50"/>
    <mergeCell ref="E51:F51"/>
    <mergeCell ref="B52:C52"/>
    <mergeCell ref="E52:G52"/>
    <mergeCell ref="A39:G39"/>
    <mergeCell ref="A40:G40"/>
    <mergeCell ref="A41:G41"/>
    <mergeCell ref="F43:G43"/>
    <mergeCell ref="B44:C44"/>
    <mergeCell ref="F44:G44"/>
    <mergeCell ref="F47:G47"/>
  </mergeCells>
  <printOptions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