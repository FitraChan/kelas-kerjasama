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v8t/1r3ri1pYiSIbYOwqDj6boPUHiLDZQ0C3SEDidP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7">
      <text>
        <t xml:space="preserve">======
ID#AAABgxAHugE
MBC Consulting    (2025-03-25 07:46:36)
kelebihan bayar Rp 1.500.000</t>
      </text>
    </comment>
  </commentList>
  <extLst>
    <ext uri="GoogleSheetsCustomDataVersion2">
      <go:sheetsCustomData xmlns:go="http://customooxmlschemas.google.com/" r:id="rId1" roundtripDataSignature="AMtx7mgETHqotrVk1nzyeRHSQHdGhlRwQQ=="/>
    </ext>
  </extLst>
</comments>
</file>

<file path=xl/sharedStrings.xml><?xml version="1.0" encoding="utf-8"?>
<sst xmlns="http://schemas.openxmlformats.org/spreadsheetml/2006/main" count="52" uniqueCount="42">
  <si>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</si>
  <si>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</si>
  <si>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</si>
  <si>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230030633</t>
  </si>
  <si>
    <t>Nama     : I Gede Oktar Purwanta</t>
  </si>
  <si>
    <t>Prodi      : SISTEM INFORMASI</t>
  </si>
  <si>
    <r>
      <rPr>
        <rFont val="Times New Roman"/>
        <color rgb="FF000000"/>
        <sz val="15.0"/>
      </rPr>
      <t>I</t>
    </r>
    <r>
      <rPr>
        <rFont val="Times New Roman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</si>
  <si>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</si>
  <si>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</si>
  <si>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</si>
  <si>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</si>
  <si>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</si>
  <si>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</si>
  <si>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I (Ganjil 2023/2024)</t>
  </si>
  <si>
    <t>Poltek Ganesha</t>
  </si>
  <si>
    <t>Semester II (Genap 2023/2024)</t>
  </si>
  <si>
    <t>Semester III (Ganjil 2024/2025)</t>
  </si>
  <si>
    <t>Semester IV (Genap 2024/2025) Potongan UKT 1.500.000</t>
  </si>
  <si>
    <t>Lunas</t>
  </si>
  <si>
    <t xml:space="preserve">Semester V (Ganjil 2025/2026) </t>
  </si>
  <si>
    <t xml:space="preserve">Lunas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</si>
  <si>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</si>
  <si>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</si>
  <si>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</si>
  <si>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Poltek Singaraja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</si>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</sst>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1.0"/>
      <color theme="1"/>
      <name val="Times New Roman"/>
    </font>
    <font>
      <b/>
      <sz val="21.0"/>
      <color theme="1"/>
      <name val="Calibri"/>
    </font>
    <font>
      <sz val="12.0"/>
      <color theme="1"/>
      <name val="Times New Roman"/>
    </font>
    <font>
      <sz val="14.0"/>
      <color theme="1"/>
      <name val="Calibri"/>
    </font>
    <font>
      <b/>
      <sz val="12.0"/>
      <color rgb="FF1F1F1F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Border="1" applyFont="1"/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left" shrinkToFit="0" vertical="center" wrapText="1"/>
    </xf>
    <xf borderId="5" fillId="0" fontId="2" numFmtId="164" xfId="0" applyBorder="1" applyFont="1" applyNumberFormat="1"/>
    <xf borderId="6" fillId="0" fontId="2" numFmtId="164" xfId="0" applyBorder="1" applyFont="1" applyNumberFormat="1"/>
    <xf borderId="0" fillId="0" fontId="2" numFmtId="167" xfId="0" applyAlignment="1" applyFont="1" applyNumberFormat="1">
      <alignment vertical="center"/>
    </xf>
    <xf borderId="3" fillId="0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left" shrinkToFit="0" wrapText="1"/>
    </xf>
    <xf borderId="4" fillId="0" fontId="2" numFmtId="164" xfId="0" applyAlignment="1" applyBorder="1" applyFont="1" applyNumberFormat="1">
      <alignment horizontal="left" readingOrder="0" vertical="center"/>
    </xf>
    <xf borderId="4" fillId="0" fontId="2" numFmtId="165" xfId="0" applyAlignment="1" applyBorder="1" applyFont="1" applyNumberFormat="1">
      <alignment horizontal="left" readingOrder="0" vertical="center"/>
    </xf>
    <xf borderId="4" fillId="0" fontId="2" numFmtId="164" xfId="0" applyAlignment="1" applyBorder="1" applyFont="1" applyNumberFormat="1">
      <alignment horizontal="left" vertical="center"/>
    </xf>
    <xf borderId="4" fillId="0" fontId="2" numFmtId="0" xfId="0" applyAlignment="1" applyBorder="1" applyFont="1">
      <alignment horizontal="left" vertical="center"/>
    </xf>
    <xf borderId="0" fillId="0" fontId="2" numFmtId="167" xfId="0" applyAlignment="1" applyFont="1" applyNumberFormat="1">
      <alignment vertical="bottom"/>
    </xf>
    <xf borderId="3" fillId="3" fontId="2" numFmtId="0" xfId="0" applyAlignment="1" applyBorder="1" applyFont="1">
      <alignment horizontal="left" readingOrder="0" shrinkToFit="0" wrapText="1"/>
    </xf>
    <xf borderId="4" fillId="3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readingOrder="0" vertical="center"/>
    </xf>
    <xf borderId="8" fillId="0" fontId="2" numFmtId="164" xfId="0" applyAlignment="1" applyBorder="1" applyFont="1" applyNumberFormat="1">
      <alignment horizontal="left" readingOrder="0" vertical="center"/>
    </xf>
    <xf borderId="4" fillId="0" fontId="2" numFmtId="165" xfId="0" applyAlignment="1" applyBorder="1" applyFont="1" applyNumberFormat="1">
      <alignment horizontal="left" readingOrder="0" vertical="center"/>
    </xf>
    <xf borderId="8" fillId="0" fontId="2" numFmtId="164" xfId="0" applyAlignment="1" applyBorder="1" applyFont="1" applyNumberFormat="1">
      <alignment horizontal="left" vertical="center"/>
    </xf>
    <xf borderId="8" fillId="0" fontId="2" numFmtId="0" xfId="0" applyAlignment="1" applyBorder="1" applyFont="1">
      <alignment readingOrder="0" vertical="center"/>
    </xf>
    <xf borderId="3" fillId="0" fontId="6" numFmtId="0" xfId="0" applyBorder="1" applyFont="1"/>
    <xf borderId="4" fillId="0" fontId="6" numFmtId="0" xfId="0" applyBorder="1" applyFont="1"/>
    <xf borderId="9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0"/>
    </xf>
    <xf borderId="2" fillId="0" fontId="2" numFmtId="0" xfId="0" applyAlignment="1" applyBorder="1" applyFont="1">
      <alignment horizontal="center" vertical="center"/>
    </xf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10" fillId="0" fontId="14" numFmtId="164" xfId="0" applyAlignment="1" applyBorder="1" applyFont="1" applyNumberForma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3" fillId="3" fontId="15" numFmtId="0" xfId="0" applyAlignment="1" applyBorder="1" applyFont="1">
      <alignment horizontal="center" vertical="center"/>
    </xf>
    <xf borderId="4" fillId="3" fontId="15" numFmtId="0" xfId="0" applyAlignment="1" applyBorder="1" applyFont="1">
      <alignment vertical="center"/>
    </xf>
    <xf borderId="13" fillId="0" fontId="6" numFmtId="0" xfId="0" applyBorder="1" applyFont="1"/>
    <xf borderId="8" fillId="0" fontId="6" numFmtId="0" xfId="0" applyBorder="1" applyFont="1"/>
    <xf borderId="4" fillId="3" fontId="15" numFmtId="0" xfId="0" applyAlignment="1" applyBorder="1" applyFont="1">
      <alignment shrinkToFit="0" vertical="center" wrapText="1"/>
    </xf>
    <xf borderId="9" fillId="0" fontId="6" numFmtId="0" xfId="0" applyBorder="1" applyFont="1"/>
    <xf borderId="9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9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5" fillId="4" fontId="11" numFmtId="164" xfId="0" applyAlignment="1" applyBorder="1" applyFont="1" applyNumberFormat="1">
      <alignment horizontal="center" vertical="center"/>
    </xf>
    <xf borderId="5" fillId="4" fontId="16" numFmtId="0" xfId="0" applyAlignment="1" applyBorder="1" applyFont="1">
      <alignment vertical="center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4" fillId="0" fontId="15" numFmtId="0" xfId="0" applyAlignment="1" applyBorder="1" applyFont="1">
      <alignment horizontal="center" vertical="center"/>
    </xf>
    <xf borderId="15" fillId="0" fontId="6" numFmtId="0" xfId="0" applyBorder="1" applyFont="1"/>
    <xf borderId="16" fillId="0" fontId="15" numFmtId="165" xfId="0" applyAlignment="1" applyBorder="1" applyFont="1" applyNumberFormat="1">
      <alignment horizontal="center" vertical="center"/>
    </xf>
    <xf borderId="17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8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43"/>
    <col customWidth="1" min="3" max="7" width="17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8"/>
      <c r="B2" s="2"/>
      <c r="C2" s="9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/>
      <c r="B4" s="2"/>
      <c r="C4" s="10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/>
      <c r="B5" s="12"/>
      <c r="C5" s="12"/>
      <c r="D5" s="12"/>
      <c r="E5" s="12"/>
      <c r="F5" s="12"/>
      <c r="G5" s="12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/>
      <c r="B10" s="12"/>
      <c r="C10" s="12"/>
      <c r="D10" s="12"/>
      <c r="E10" s="12"/>
      <c r="F10" s="12"/>
      <c r="G10" s="12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 t="s">
        <v>6</v>
      </c>
      <c r="B12" s="16"/>
      <c r="C12" s="17"/>
      <c r="D12" s="18"/>
      <c r="E12" s="17"/>
      <c r="F12" s="17"/>
      <c r="G12" s="1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 t="s">
        <v>7</v>
      </c>
      <c r="B13" s="20" t="s">
        <v>8</v>
      </c>
      <c r="C13" s="21" t="s">
        <v>9</v>
      </c>
      <c r="D13" s="22" t="s">
        <v>10</v>
      </c>
      <c r="E13" s="21" t="s">
        <v>11</v>
      </c>
      <c r="F13" s="21" t="s">
        <v>12</v>
      </c>
      <c r="G13" s="20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3">
        <v>1.0</v>
      </c>
      <c r="B14" s="24" t="s">
        <v>13</v>
      </c>
      <c r="C14" s="25" t="s">
        <v>14</v>
      </c>
      <c r="D14" s="26"/>
      <c r="E14" s="26" t="s">
        <v>14</v>
      </c>
      <c r="F14" s="26"/>
      <c r="G14" s="26" t="s">
        <v>14</v>
      </c>
      <c r="H14" s="2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8">
        <v>2.0</v>
      </c>
      <c r="B15" s="29" t="s">
        <v>15</v>
      </c>
      <c r="C15" s="30">
        <v>4300000.0</v>
      </c>
      <c r="D15" s="31">
        <v>45327.0</v>
      </c>
      <c r="E15" s="30">
        <v>4300000.0</v>
      </c>
      <c r="F15" s="32">
        <f t="shared" ref="F15:F17" si="1">C15-E15</f>
        <v>0</v>
      </c>
      <c r="G15" s="33" t="str">
        <f t="shared" ref="G15:G16" si="2">IF(E15&gt;=C15,"Lunas","Tunggakan")</f>
        <v>Lunas</v>
      </c>
      <c r="H15" s="5"/>
      <c r="I15" s="3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8">
        <v>3.0</v>
      </c>
      <c r="B16" s="35" t="s">
        <v>16</v>
      </c>
      <c r="C16" s="30">
        <v>4300000.0</v>
      </c>
      <c r="D16" s="31">
        <v>45526.0</v>
      </c>
      <c r="E16" s="30">
        <v>4300000.0</v>
      </c>
      <c r="F16" s="32">
        <f t="shared" si="1"/>
        <v>0</v>
      </c>
      <c r="G16" s="33" t="str">
        <f t="shared" si="2"/>
        <v>Lunas</v>
      </c>
      <c r="H16" s="5"/>
      <c r="I16" s="3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28">
        <v>4.0</v>
      </c>
      <c r="B17" s="36" t="s">
        <v>17</v>
      </c>
      <c r="C17" s="30">
        <f>4300000-1500000</f>
        <v>2800000</v>
      </c>
      <c r="D17" s="31">
        <v>45701.0</v>
      </c>
      <c r="E17" s="30">
        <v>2800000.0</v>
      </c>
      <c r="F17" s="32">
        <f t="shared" si="1"/>
        <v>0</v>
      </c>
      <c r="G17" s="37" t="s">
        <v>18</v>
      </c>
      <c r="H17" s="5"/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8">
        <v>5.0</v>
      </c>
      <c r="B18" s="39" t="s">
        <v>19</v>
      </c>
      <c r="C18" s="40">
        <v>4300000.0</v>
      </c>
      <c r="D18" s="41">
        <v>45701.0</v>
      </c>
      <c r="E18" s="30">
        <v>1500000.0</v>
      </c>
      <c r="F18" s="42">
        <f>C18-E18-E19</f>
        <v>0</v>
      </c>
      <c r="G18" s="43" t="s">
        <v>20</v>
      </c>
      <c r="H18" s="5"/>
      <c r="I18" s="3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4"/>
      <c r="B19" s="45"/>
      <c r="C19" s="45"/>
      <c r="D19" s="41">
        <v>45901.0</v>
      </c>
      <c r="E19" s="30">
        <v>2800000.0</v>
      </c>
      <c r="F19" s="45"/>
      <c r="G19" s="45"/>
      <c r="H19" s="5"/>
      <c r="I19" s="3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6" t="s">
        <v>21</v>
      </c>
      <c r="B20" s="47"/>
      <c r="C20" s="48">
        <f>sum(C14:C19)</f>
        <v>15700000</v>
      </c>
      <c r="D20" s="49"/>
      <c r="E20" s="49">
        <f t="shared" ref="E20:F20" si="3">SUM(E14:E19)</f>
        <v>15700000</v>
      </c>
      <c r="F20" s="50">
        <f t="shared" si="3"/>
        <v>0</v>
      </c>
      <c r="G20" s="51"/>
      <c r="H20" s="52"/>
      <c r="I20" s="52"/>
      <c r="J20" s="52"/>
      <c r="K20" s="53"/>
      <c r="L20" s="54"/>
      <c r="M20" s="54"/>
      <c r="N20" s="54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5"/>
      <c r="B21" s="56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7" t="s">
        <v>22</v>
      </c>
      <c r="B22" s="2"/>
      <c r="C22" s="3"/>
      <c r="D22" s="4"/>
      <c r="E22" s="3"/>
      <c r="F22" s="3"/>
      <c r="G22" s="2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8"/>
      <c r="B23" s="16"/>
      <c r="C23" s="17"/>
      <c r="D23" s="18"/>
      <c r="E23" s="17"/>
      <c r="F23" s="17"/>
      <c r="G23" s="16"/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9" t="s">
        <v>7</v>
      </c>
      <c r="B24" s="20" t="s">
        <v>8</v>
      </c>
      <c r="C24" s="21" t="s">
        <v>9</v>
      </c>
      <c r="D24" s="22" t="s">
        <v>10</v>
      </c>
      <c r="E24" s="21" t="s">
        <v>11</v>
      </c>
      <c r="F24" s="21" t="s">
        <v>12</v>
      </c>
      <c r="G24" s="20" t="s">
        <v>8</v>
      </c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9">
        <v>1.0</v>
      </c>
      <c r="B25" s="60" t="s">
        <v>23</v>
      </c>
      <c r="C25" s="61" t="s">
        <v>24</v>
      </c>
      <c r="D25" s="62"/>
      <c r="E25" s="62"/>
      <c r="F25" s="62"/>
      <c r="G25" s="63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4">
        <v>2.0</v>
      </c>
      <c r="B26" s="65" t="s">
        <v>25</v>
      </c>
      <c r="C26" s="66"/>
      <c r="G26" s="67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4">
        <v>3.0</v>
      </c>
      <c r="B27" s="68" t="s">
        <v>26</v>
      </c>
      <c r="C27" s="66"/>
      <c r="G27" s="67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4">
        <v>4.0</v>
      </c>
      <c r="B28" s="68" t="s">
        <v>27</v>
      </c>
      <c r="C28" s="69"/>
      <c r="D28" s="47"/>
      <c r="E28" s="47"/>
      <c r="F28" s="47"/>
      <c r="G28" s="45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0" t="s">
        <v>28</v>
      </c>
      <c r="B29" s="47"/>
      <c r="C29" s="48">
        <f>sum(C25)</f>
        <v>0</v>
      </c>
      <c r="D29" s="71"/>
      <c r="E29" s="49">
        <f>sum(E25:E28)</f>
        <v>0</v>
      </c>
      <c r="F29" s="49">
        <f>SUM(F25:F28)</f>
        <v>0</v>
      </c>
      <c r="G29" s="51"/>
      <c r="H29" s="52"/>
      <c r="I29" s="52"/>
      <c r="J29" s="52"/>
      <c r="K29" s="53"/>
      <c r="L29" s="54"/>
      <c r="M29" s="54"/>
      <c r="N29" s="54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72" t="s">
        <v>29</v>
      </c>
      <c r="B30" s="47"/>
      <c r="C30" s="73">
        <f>C20+C29</f>
        <v>15700000</v>
      </c>
      <c r="D30" s="74"/>
      <c r="E30" s="75">
        <f>E29+E20</f>
        <v>15700000</v>
      </c>
      <c r="F30" s="76">
        <f>F20+F29</f>
        <v>0</v>
      </c>
      <c r="G30" s="77"/>
      <c r="H30" s="78"/>
      <c r="I30" s="78"/>
      <c r="J30" s="78"/>
      <c r="K30" s="79"/>
      <c r="L30" s="80"/>
      <c r="M30" s="80"/>
      <c r="N30" s="80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55"/>
      <c r="B31" s="81"/>
      <c r="E31" s="3"/>
      <c r="F31" s="82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3"/>
      <c r="B32" s="84"/>
      <c r="C32" s="12"/>
      <c r="D32" s="12"/>
      <c r="E32" s="85"/>
      <c r="F32" s="86"/>
      <c r="G32" s="12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7" t="s">
        <v>30</v>
      </c>
      <c r="G33" s="88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7" t="s">
        <v>31</v>
      </c>
      <c r="G34" s="88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7" t="s">
        <v>32</v>
      </c>
      <c r="G35" s="88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9" t="s">
        <v>33</v>
      </c>
      <c r="B36" s="12"/>
      <c r="C36" s="12"/>
      <c r="D36" s="12"/>
      <c r="E36" s="12"/>
      <c r="F36" s="12"/>
      <c r="G36" s="90"/>
      <c r="H36" s="91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9.25" customHeight="1">
      <c r="A37" s="8"/>
      <c r="B37" s="2"/>
      <c r="C37" s="3"/>
      <c r="D37" s="4"/>
      <c r="E37" s="3"/>
      <c r="F37" s="92" t="s">
        <v>34</v>
      </c>
      <c r="G37" s="93">
        <v>45901.0</v>
      </c>
      <c r="H37" s="94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6.75" customHeight="1">
      <c r="A38" s="8"/>
      <c r="B38" s="3"/>
      <c r="C38" s="3"/>
      <c r="D38" s="4"/>
      <c r="E38" s="3"/>
      <c r="F38" s="95" t="s">
        <v>35</v>
      </c>
      <c r="H38" s="96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/>
      <c r="B39" s="95" t="s">
        <v>36</v>
      </c>
      <c r="D39" s="4"/>
      <c r="E39" s="3"/>
      <c r="F39" s="95" t="s">
        <v>37</v>
      </c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/>
      <c r="B40" s="2"/>
      <c r="C40" s="3"/>
      <c r="D40" s="4"/>
      <c r="E40" s="3"/>
      <c r="F40" s="3"/>
      <c r="G40" s="4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/>
      <c r="B41" s="2"/>
      <c r="C41" s="3"/>
      <c r="D41" s="4"/>
      <c r="E41" s="3"/>
      <c r="F41" s="3"/>
      <c r="G41" s="2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/>
      <c r="B42" s="2"/>
      <c r="C42" s="3"/>
      <c r="D42" s="4"/>
      <c r="E42" s="3"/>
      <c r="F42" s="82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3"/>
      <c r="C43" s="3"/>
      <c r="D43" s="4"/>
      <c r="E43" s="3"/>
      <c r="F43" s="3"/>
      <c r="G43" s="3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/>
      <c r="B44" s="97" t="s">
        <v>38</v>
      </c>
      <c r="C44" s="12"/>
      <c r="D44" s="4"/>
      <c r="E44" s="3"/>
      <c r="F44" s="98" t="s">
        <v>39</v>
      </c>
      <c r="G44" s="12"/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/>
      <c r="B45" s="99" t="s">
        <v>40</v>
      </c>
      <c r="D45" s="4"/>
      <c r="E45" s="3"/>
      <c r="F45" s="100" t="s">
        <v>41</v>
      </c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/>
      <c r="B46" s="2"/>
      <c r="C46" s="3"/>
      <c r="D46" s="4"/>
      <c r="E46" s="82"/>
      <c r="G46" s="2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/>
      <c r="B47" s="81"/>
      <c r="D47" s="4"/>
      <c r="E47" s="8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8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8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8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8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8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8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8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8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8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8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8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8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8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8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8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8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8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8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8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8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8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8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8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8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8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8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8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8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8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8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8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8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8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8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8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8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8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8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8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8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8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8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8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8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8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8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8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8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8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8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8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8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8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8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8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8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8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8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8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8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8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8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8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8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8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8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8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8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8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8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8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8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8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8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8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8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8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8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8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8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8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8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8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8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8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8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8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8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8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8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8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8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8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8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8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8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8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8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8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8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8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8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8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8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8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8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8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8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8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8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8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8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8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8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8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8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8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8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8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8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8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8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8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8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8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8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8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8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8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8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8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8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8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8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8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8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8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8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8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8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8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8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8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8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8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8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8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8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8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8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8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8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8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8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8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8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8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8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8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8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8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8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8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8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8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8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8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8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8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8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8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8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8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8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8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8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8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8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8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8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8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8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8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8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8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8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8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8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8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8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8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8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8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8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8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8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8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8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8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8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8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8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8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8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8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8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8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8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8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8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8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8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8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8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8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8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8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8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8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8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8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8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8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8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8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8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8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8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8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8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8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8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8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8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8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8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8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8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8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8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8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8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8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8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8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8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8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8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8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8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8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8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8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8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8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8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8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8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8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8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8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8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8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8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8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8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8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8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8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8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8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8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8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8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8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8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8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8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8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8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8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8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8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8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8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8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8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8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8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8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8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8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8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8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8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8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8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8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8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8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8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8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8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8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8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8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8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8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8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8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8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8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8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8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8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8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8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8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8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8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8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8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8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8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8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8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8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8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8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8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8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8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8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8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8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8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8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8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8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8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8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8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8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8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8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8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8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8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8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8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8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8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8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8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8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8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8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8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8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8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8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8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8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8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8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8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8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8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8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8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8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8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8"/>
      <c r="B996" s="2"/>
      <c r="C996" s="3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8"/>
      <c r="B997" s="2"/>
      <c r="C997" s="3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8"/>
      <c r="B998" s="2"/>
      <c r="C998" s="3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8"/>
      <c r="B999" s="2"/>
      <c r="C999" s="3"/>
      <c r="D999" s="4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8"/>
      <c r="B1000" s="2"/>
      <c r="C1000" s="3"/>
      <c r="D1000" s="4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8"/>
      <c r="B1001" s="2"/>
      <c r="C1001" s="3"/>
      <c r="D1001" s="4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8"/>
      <c r="B1002" s="2"/>
      <c r="C1002" s="3"/>
      <c r="D1002" s="4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8"/>
      <c r="B1003" s="2"/>
      <c r="C1003" s="3"/>
      <c r="D1003" s="4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35">
    <mergeCell ref="C2:G2"/>
    <mergeCell ref="C4:G4"/>
    <mergeCell ref="A5:G5"/>
    <mergeCell ref="A7:H7"/>
    <mergeCell ref="A8:H8"/>
    <mergeCell ref="A9:H9"/>
    <mergeCell ref="A10:G10"/>
    <mergeCell ref="A18:A19"/>
    <mergeCell ref="B18:B19"/>
    <mergeCell ref="C18:C19"/>
    <mergeCell ref="F18:F19"/>
    <mergeCell ref="G18:G19"/>
    <mergeCell ref="C25:G28"/>
    <mergeCell ref="A20:B20"/>
    <mergeCell ref="B31:D31"/>
    <mergeCell ref="F31:G31"/>
    <mergeCell ref="B32:D32"/>
    <mergeCell ref="F32:G32"/>
    <mergeCell ref="A33:G33"/>
    <mergeCell ref="A29:B29"/>
    <mergeCell ref="A30:B30"/>
    <mergeCell ref="B44:C44"/>
    <mergeCell ref="F44:G44"/>
    <mergeCell ref="B45:C45"/>
    <mergeCell ref="F45:G45"/>
    <mergeCell ref="E46:F46"/>
    <mergeCell ref="B47:C47"/>
    <mergeCell ref="E47:G47"/>
    <mergeCell ref="A34:G34"/>
    <mergeCell ref="A35:G35"/>
    <mergeCell ref="A36:G36"/>
    <mergeCell ref="F38:G38"/>
    <mergeCell ref="B39:C39"/>
    <mergeCell ref="F39:G39"/>
    <mergeCell ref="F42:G42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