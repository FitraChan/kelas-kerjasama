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9zz0XzPUAK5WfHKkpwt4jpxSCL5Kcwv2Qk7RqQ2aZ1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6">
      <text>
        <t xml:space="preserve">======
ID#AAABW7m_h_s
MBC Consulting    (2024-10-10 03:54:03)
membayar di kls karyawan dan sudah koordinasi untuk pengalihan dana</t>
      </text>
    </comment>
    <comment authorId="0" ref="C14">
      <text>
        <t xml:space="preserve">======
ID#AAABWgmB5Po
MBC Consulting    (2024-10-08 02:49:47)
info dari pak andi (SS bukti chat ada di berkas mahasiswa)
karna dari LPD maka mendapat potongan biaya per semester sebesar 25% dari biaya awal yaitu 6.500.000
sehingga setiap semester dikenakan biaya 4.875.000</t>
      </text>
    </comment>
  </commentList>
  <extLst>
    <ext uri="GoogleSheetsCustomDataVersion2">
      <go:sheetsCustomData xmlns:go="http://customooxmlschemas.google.com/" r:id="rId1" roundtripDataSignature="AMtx7mjhydLqvWDLmK8kRYgbvYnnPXlAzQ=="/>
    </ext>
  </extLst>
</comments>
</file>

<file path=xl/sharedStrings.xml><?xml version="1.0" encoding="utf-8"?>
<sst xmlns="http://schemas.openxmlformats.org/spreadsheetml/2006/main" count="48" uniqueCount="39">
  <si>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</si>
  <si>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</si>
  <si>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</si>
  <si>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240030461</t>
  </si>
  <si>
    <t>Nama     : I Wayan Suwista Adi Wiguna</t>
  </si>
  <si>
    <t>Prodi      : S1- SISTEM INFORMASI</t>
  </si>
  <si>
    <r>
      <rPr>
        <rFont val="Times New Roman"/>
        <color theme="1"/>
        <sz val="15.0"/>
      </rPr>
      <t>I</t>
    </r>
    <r>
      <rPr>
        <rFont val="Times New Roman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</si>
  <si>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</si>
  <si>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</si>
  <si>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</si>
  <si>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</si>
  <si>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</si>
  <si>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</si>
  <si>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Semester Ganjil 2024/2025</t>
  </si>
  <si>
    <t>Semester Genap 2024/2025</t>
  </si>
  <si>
    <t>Semester Ganjil 2025/202</t>
  </si>
  <si>
    <t xml:space="preserve">Lunas </t>
  </si>
  <si>
    <t xml:space="preserve">Total </t>
  </si>
  <si>
    <r>
      <rPr>
        <rFont val="&quot;Times New Roman&quot;"/>
        <color theme="1"/>
        <sz val="16.0"/>
      </rPr>
      <t>II</t>
    </r>
    <r>
      <rPr>
        <rFont val="&quot;Times New Roman&quot;"/>
        <b/>
        <color theme="1"/>
        <sz val="16.0"/>
      </rPr>
      <t>. Biaya Lain-lain</t>
    </r>
  </si>
  <si>
    <t>Pembayaran Pendaftaran</t>
  </si>
  <si>
    <t>Lunas</t>
  </si>
  <si>
    <t>Almamater &amp; Orientasi</t>
  </si>
  <si>
    <t>DPP</t>
  </si>
  <si>
    <t>SKS Diakui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</si>
  <si>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</si>
  <si>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</si>
  <si>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</si>
  <si>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</si>
  <si>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</si>
  <si>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</si>
  <si>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</si>
  <si>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</si>
  <si>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</si>
  <si>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</si>
  <si>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</si>
  <si>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</si>
  <si>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I GST AYU ALIT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</si>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</sst>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8">
    <font>
      <sz val="11.0"/>
      <color theme="1"/>
      <name val="Calibri"/>
      <scheme val="minor"/>
    </font>
    <font>
      <b/>
      <sz val="12.0"/>
      <color theme="1"/>
      <name val="Times New Roman"/>
    </font>
    <font>
      <sz val="11.0"/>
      <color theme="1"/>
      <name val="Calibri"/>
    </font>
    <font>
      <b/>
      <sz val="29.0"/>
      <color theme="1"/>
      <name val="Times New Roman"/>
    </font>
    <font>
      <sz val="16.0"/>
      <color theme="1"/>
      <name val="Times New Roman"/>
    </font>
    <font>
      <color theme="1"/>
      <name val="Calibri"/>
    </font>
    <font/>
    <font>
      <sz val="15.0"/>
      <color rgb="FF000000"/>
      <name val="Times New Roman"/>
    </font>
    <font>
      <b/>
      <sz val="15.0"/>
      <color theme="1"/>
      <name val="Times New Roman"/>
    </font>
    <font>
      <sz val="14.0"/>
      <color theme="1"/>
      <name val="Times New Roman"/>
    </font>
    <font>
      <b/>
      <sz val="14.0"/>
      <color theme="1"/>
      <name val="Times New Roman"/>
    </font>
    <font>
      <b/>
      <sz val="14.0"/>
      <color theme="1"/>
      <name val="Calibri"/>
    </font>
    <font>
      <sz val="16.0"/>
      <color rgb="FF000000"/>
      <name val="Times New Roman"/>
    </font>
    <font>
      <sz val="12.0"/>
      <color theme="1"/>
      <name val="Times New Roman"/>
    </font>
    <font>
      <b/>
      <sz val="11.0"/>
      <color theme="1"/>
      <name val="Calibri"/>
    </font>
    <font>
      <b/>
      <sz val="16.0"/>
      <color theme="1"/>
      <name val="Times New Roman"/>
    </font>
    <font>
      <b/>
      <sz val="16.0"/>
      <color theme="1"/>
      <name val="Calibri"/>
    </font>
    <font>
      <b/>
      <sz val="12.0"/>
      <color rgb="FF1F1F1F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4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3" numFmtId="164" xfId="0" applyAlignment="1" applyFont="1" applyNumberForma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1" fillId="0" fontId="5" numFmtId="0" xfId="0" applyBorder="1" applyFont="1"/>
    <xf borderId="1" fillId="0" fontId="6" numFmtId="0" xfId="0" applyBorder="1" applyFont="1"/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2" fillId="0" fontId="7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vertical="bottom"/>
    </xf>
    <xf borderId="2" fillId="0" fontId="2" numFmtId="164" xfId="0" applyAlignment="1" applyBorder="1" applyFont="1" applyNumberFormat="1">
      <alignment vertical="bottom"/>
    </xf>
    <xf borderId="2" fillId="0" fontId="2" numFmtId="165" xfId="0" applyAlignment="1" applyBorder="1" applyFont="1" applyNumberFormat="1">
      <alignment vertical="bottom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vertical="center"/>
    </xf>
    <xf borderId="5" fillId="0" fontId="9" numFmtId="0" xfId="0" applyAlignment="1" applyBorder="1" applyFont="1">
      <alignment horizontal="right" vertical="bottom"/>
    </xf>
    <xf borderId="5" fillId="3" fontId="2" numFmtId="0" xfId="0" applyAlignment="1" applyBorder="1" applyFill="1" applyFont="1">
      <alignment shrinkToFit="0" vertical="bottom" wrapText="1"/>
    </xf>
    <xf borderId="5" fillId="0" fontId="2" numFmtId="164" xfId="0" applyAlignment="1" applyBorder="1" applyFont="1" applyNumberFormat="1">
      <alignment readingOrder="0" vertical="bottom"/>
    </xf>
    <xf borderId="5" fillId="0" fontId="2" numFmtId="165" xfId="0" applyAlignment="1" applyBorder="1" applyFont="1" applyNumberFormat="1">
      <alignment readingOrder="0" vertical="bottom"/>
    </xf>
    <xf borderId="5" fillId="0" fontId="2" numFmtId="164" xfId="0" applyAlignment="1" applyBorder="1" applyFont="1" applyNumberFormat="1">
      <alignment vertical="bottom"/>
    </xf>
    <xf borderId="5" fillId="0" fontId="2" numFmtId="0" xfId="0" applyAlignment="1" applyBorder="1" applyFont="1">
      <alignment vertical="bottom"/>
    </xf>
    <xf borderId="5" fillId="0" fontId="9" numFmtId="0" xfId="0" applyAlignment="1" applyBorder="1" applyFont="1">
      <alignment horizontal="right" readingOrder="0" vertical="bottom"/>
    </xf>
    <xf borderId="5" fillId="3" fontId="2" numFmtId="0" xfId="0" applyAlignment="1" applyBorder="1" applyFont="1">
      <alignment readingOrder="0" shrinkToFit="0" vertical="bottom" wrapText="1"/>
    </xf>
    <xf borderId="5" fillId="0" fontId="2" numFmtId="0" xfId="0" applyAlignment="1" applyBorder="1" applyFont="1">
      <alignment readingOrder="0" vertical="bottom"/>
    </xf>
    <xf borderId="5" fillId="3" fontId="2" numFmtId="0" xfId="0" applyAlignment="1" applyBorder="1" applyFont="1">
      <alignment vertical="bottom"/>
    </xf>
    <xf borderId="0" fillId="0" fontId="2" numFmtId="167" xfId="0" applyAlignment="1" applyFont="1" applyNumberFormat="1">
      <alignment vertical="bottom"/>
    </xf>
    <xf borderId="3" fillId="0" fontId="2" numFmtId="0" xfId="0" applyAlignment="1" applyBorder="1" applyFont="1">
      <alignment vertical="bottom"/>
    </xf>
    <xf borderId="4" fillId="3" fontId="2" numFmtId="0" xfId="0" applyAlignment="1" applyBorder="1" applyFont="1">
      <alignment vertical="bottom"/>
    </xf>
    <xf borderId="4" fillId="0" fontId="2" numFmtId="164" xfId="0" applyAlignment="1" applyBorder="1" applyFont="1" applyNumberFormat="1">
      <alignment vertical="bottom"/>
    </xf>
    <xf borderId="4" fillId="0" fontId="2" numFmtId="165" xfId="0" applyAlignment="1" applyBorder="1" applyFont="1" applyNumberFormat="1">
      <alignment vertical="bottom"/>
    </xf>
    <xf borderId="4" fillId="0" fontId="2" numFmtId="0" xfId="0" applyAlignment="1" applyBorder="1" applyFont="1">
      <alignment vertical="bottom"/>
    </xf>
    <xf borderId="6" fillId="2" fontId="10" numFmtId="164" xfId="0" applyAlignment="1" applyBorder="1" applyFont="1" applyNumberFormat="1">
      <alignment horizontal="center" vertical="bottom"/>
    </xf>
    <xf borderId="2" fillId="0" fontId="6" numFmtId="0" xfId="0" applyBorder="1" applyFont="1"/>
    <xf borderId="4" fillId="0" fontId="6" numFmtId="0" xfId="0" applyBorder="1" applyFont="1"/>
    <xf borderId="4" fillId="2" fontId="10" numFmtId="164" xfId="0" applyAlignment="1" applyBorder="1" applyFont="1" applyNumberFormat="1">
      <alignment horizontal="center" vertical="bottom"/>
    </xf>
    <xf borderId="4" fillId="2" fontId="11" numFmtId="164" xfId="0" applyAlignment="1" applyBorder="1" applyFont="1" applyNumberFormat="1">
      <alignment horizontal="center" vertical="bottom"/>
    </xf>
    <xf borderId="4" fillId="2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0" fillId="0" fontId="11" numFmtId="166" xfId="0" applyAlignment="1" applyFont="1" applyNumberFormat="1">
      <alignment vertical="bottom"/>
    </xf>
    <xf borderId="0" fillId="0" fontId="11" numFmtId="3" xfId="0" applyAlignment="1" applyFont="1" applyNumberFormat="1">
      <alignment vertical="bottom"/>
    </xf>
    <xf borderId="0" fillId="3" fontId="2" numFmtId="0" xfId="0" applyAlignment="1" applyFont="1">
      <alignment vertical="bottom"/>
    </xf>
    <xf borderId="0" fillId="0" fontId="12" numFmtId="0" xfId="0" applyAlignment="1" applyFont="1">
      <alignment shrinkToFit="0" vertical="bottom" wrapText="0"/>
    </xf>
    <xf borderId="3" fillId="2" fontId="8" numFmtId="0" xfId="0" applyAlignment="1" applyBorder="1" applyFont="1">
      <alignment horizontal="center" shrinkToFit="0" wrapText="1"/>
    </xf>
    <xf borderId="4" fillId="2" fontId="8" numFmtId="0" xfId="0" applyAlignment="1" applyBorder="1" applyFont="1">
      <alignment horizontal="center" shrinkToFit="0" wrapText="1"/>
    </xf>
    <xf borderId="4" fillId="2" fontId="8" numFmtId="164" xfId="0" applyAlignment="1" applyBorder="1" applyFont="1" applyNumberFormat="1">
      <alignment horizontal="center" shrinkToFit="0" wrapText="1"/>
    </xf>
    <xf borderId="4" fillId="2" fontId="8" numFmtId="165" xfId="0" applyAlignment="1" applyBorder="1" applyFont="1" applyNumberFormat="1">
      <alignment horizontal="center" shrinkToFit="0" wrapText="1"/>
    </xf>
    <xf borderId="0" fillId="0" fontId="2" numFmtId="0" xfId="0" applyFont="1"/>
    <xf borderId="0" fillId="0" fontId="2" numFmtId="166" xfId="0" applyFont="1" applyNumberFormat="1"/>
    <xf borderId="0" fillId="0" fontId="2" numFmtId="3" xfId="0" applyFont="1" applyNumberFormat="1"/>
    <xf borderId="3" fillId="3" fontId="13" numFmtId="0" xfId="0" applyAlignment="1" applyBorder="1" applyFont="1">
      <alignment horizontal="center" vertical="center"/>
    </xf>
    <xf borderId="4" fillId="3" fontId="13" numFmtId="0" xfId="0" applyAlignment="1" applyBorder="1" applyFont="1">
      <alignment shrinkToFit="0" vertical="center" wrapText="1"/>
    </xf>
    <xf borderId="5" fillId="3" fontId="2" numFmtId="164" xfId="0" applyAlignment="1" applyBorder="1" applyFont="1" applyNumberFormat="1">
      <alignment horizontal="center" vertical="center"/>
    </xf>
    <xf borderId="5" fillId="3" fontId="2" numFmtId="165" xfId="0" applyAlignment="1" applyBorder="1" applyFont="1" applyNumberFormat="1">
      <alignment horizontal="center" readingOrder="0" shrinkToFit="0" vertical="center" wrapText="1"/>
    </xf>
    <xf borderId="5" fillId="3" fontId="2" numFmtId="0" xfId="0" applyAlignment="1" applyBorder="1" applyFont="1">
      <alignment horizontal="center"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4" fillId="3" fontId="13" numFmtId="0" xfId="0" applyAlignment="1" applyBorder="1" applyFont="1">
      <alignment vertical="center"/>
    </xf>
    <xf borderId="5" fillId="3" fontId="2" numFmtId="164" xfId="0" applyAlignment="1" applyBorder="1" applyFont="1" applyNumberFormat="1">
      <alignment horizontal="center" readingOrder="0" vertical="center"/>
    </xf>
    <xf borderId="7" fillId="3" fontId="13" numFmtId="0" xfId="0" applyAlignment="1" applyBorder="1" applyFont="1">
      <alignment horizontal="center" vertical="bottom"/>
    </xf>
    <xf borderId="8" fillId="3" fontId="13" numFmtId="0" xfId="0" applyAlignment="1" applyBorder="1" applyFont="1">
      <alignment shrinkToFit="0" vertical="bottom" wrapText="1"/>
    </xf>
    <xf borderId="9" fillId="3" fontId="2" numFmtId="164" xfId="0" applyAlignment="1" applyBorder="1" applyFont="1" applyNumberFormat="1">
      <alignment horizontal="center" readingOrder="0" vertical="center"/>
    </xf>
    <xf borderId="5" fillId="3" fontId="2" numFmtId="165" xfId="0" applyAlignment="1" applyBorder="1" applyFont="1" applyNumberFormat="1">
      <alignment horizontal="center" readingOrder="0" vertical="center"/>
    </xf>
    <xf borderId="9" fillId="3" fontId="2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shrinkToFit="0" vertical="bottom" wrapText="1"/>
    </xf>
    <xf borderId="3" fillId="0" fontId="6" numFmtId="0" xfId="0" applyBorder="1" applyFont="1"/>
    <xf borderId="4" fillId="3" fontId="2" numFmtId="165" xfId="0" applyAlignment="1" applyBorder="1" applyFont="1" applyNumberFormat="1">
      <alignment horizontal="center" readingOrder="0" vertical="center"/>
    </xf>
    <xf borderId="4" fillId="3" fontId="2" numFmtId="164" xfId="0" applyAlignment="1" applyBorder="1" applyFont="1" applyNumberFormat="1">
      <alignment horizontal="center" readingOrder="0" vertical="center"/>
    </xf>
    <xf borderId="4" fillId="3" fontId="13" numFmtId="0" xfId="0" applyAlignment="1" applyBorder="1" applyFont="1">
      <alignment readingOrder="0" shrinkToFit="0" vertical="bottom" wrapText="1"/>
    </xf>
    <xf borderId="3" fillId="3" fontId="13" numFmtId="0" xfId="0" applyAlignment="1" applyBorder="1" applyFont="1">
      <alignment horizontal="center" vertical="bottom"/>
    </xf>
    <xf borderId="4" fillId="3" fontId="13" numFmtId="0" xfId="0" applyAlignment="1" applyBorder="1" applyFont="1">
      <alignment shrinkToFit="0" vertical="bottom" wrapText="1"/>
    </xf>
    <xf borderId="4" fillId="3" fontId="2" numFmtId="164" xfId="0" applyAlignment="1" applyBorder="1" applyFont="1" applyNumberFormat="1">
      <alignment vertical="bottom"/>
    </xf>
    <xf borderId="6" fillId="2" fontId="1" numFmtId="0" xfId="0" applyAlignment="1" applyBorder="1" applyFont="1">
      <alignment horizontal="center" vertical="bottom"/>
    </xf>
    <xf borderId="4" fillId="2" fontId="1" numFmtId="164" xfId="0" applyAlignment="1" applyBorder="1" applyFont="1" applyNumberFormat="1">
      <alignment horizontal="center" vertical="bottom"/>
    </xf>
    <xf borderId="4" fillId="2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14" numFmtId="166" xfId="0" applyAlignment="1" applyFont="1" applyNumberFormat="1">
      <alignment vertical="bottom"/>
    </xf>
    <xf borderId="0" fillId="0" fontId="14" numFmtId="3" xfId="0" applyAlignment="1" applyFont="1" applyNumberFormat="1">
      <alignment vertical="bottom"/>
    </xf>
    <xf borderId="6" fillId="4" fontId="15" numFmtId="0" xfId="0" applyAlignment="1" applyBorder="1" applyFill="1" applyFont="1">
      <alignment horizontal="center" vertical="bottom"/>
    </xf>
    <xf borderId="4" fillId="4" fontId="15" numFmtId="164" xfId="0" applyAlignment="1" applyBorder="1" applyFont="1" applyNumberFormat="1">
      <alignment horizontal="center" vertical="bottom"/>
    </xf>
    <xf borderId="8" fillId="4" fontId="16" numFmtId="164" xfId="0" applyAlignment="1" applyBorder="1" applyFont="1" applyNumberFormat="1">
      <alignment horizontal="center" vertical="bottom"/>
    </xf>
    <xf borderId="8" fillId="4" fontId="14" numFmtId="0" xfId="0" applyAlignment="1" applyBorder="1" applyFont="1">
      <alignment vertical="bottom"/>
    </xf>
    <xf borderId="0" fillId="0" fontId="5" numFmtId="164" xfId="0" applyFont="1" applyNumberFormat="1"/>
    <xf borderId="1" fillId="3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  <xf borderId="1" fillId="0" fontId="5" numFmtId="164" xfId="0" applyBorder="1" applyFont="1" applyNumberFormat="1"/>
    <xf borderId="10" fillId="0" fontId="13" numFmtId="0" xfId="0" applyAlignment="1" applyBorder="1" applyFont="1">
      <alignment vertical="bottom"/>
    </xf>
    <xf borderId="11" fillId="0" fontId="6" numFmtId="0" xfId="0" applyBorder="1" applyFont="1"/>
    <xf borderId="12" fillId="0" fontId="13" numFmtId="165" xfId="0" applyAlignment="1" applyBorder="1" applyFont="1" applyNumberFormat="1">
      <alignment vertical="bottom"/>
    </xf>
    <xf borderId="13" fillId="0" fontId="6" numFmtId="0" xfId="0" applyBorder="1" applyFont="1"/>
    <xf borderId="0" fillId="0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3" fontId="17" numFmtId="165" xfId="0" applyAlignment="1" applyFont="1" applyNumberFormat="1">
      <alignment horizontal="left" readingOrder="0" vertical="bottom"/>
    </xf>
    <xf borderId="0" fillId="3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1" fillId="0" fontId="1" numFmtId="164" xfId="0" applyAlignment="1" applyBorder="1" applyFont="1" applyNumberFormat="1">
      <alignment horizontal="center" readingOrder="0" vertical="bottom"/>
    </xf>
    <xf borderId="0" fillId="0" fontId="14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4" width="16.86"/>
    <col customWidth="1" min="5" max="5" width="19.86"/>
    <col customWidth="1" min="6" max="6" width="19.0"/>
    <col customWidth="1" min="7" max="7" width="16.86"/>
    <col customWidth="1" min="8" max="8" width="29.14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8" t="s">
        <v>2</v>
      </c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10"/>
      <c r="C5" s="10"/>
      <c r="D5" s="10"/>
      <c r="E5" s="10"/>
      <c r="F5" s="10"/>
      <c r="G5" s="10"/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3"/>
      <c r="F6" s="3"/>
      <c r="G6" s="2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3</v>
      </c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4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 t="s">
        <v>5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10"/>
      <c r="C10" s="10"/>
      <c r="D10" s="10"/>
      <c r="E10" s="10"/>
      <c r="F10" s="10"/>
      <c r="G10" s="10"/>
      <c r="H10" s="2"/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3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 t="s">
        <v>6</v>
      </c>
      <c r="B12" s="14"/>
      <c r="C12" s="15"/>
      <c r="D12" s="16"/>
      <c r="E12" s="15"/>
      <c r="F12" s="15"/>
      <c r="G12" s="1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7" t="s">
        <v>7</v>
      </c>
      <c r="B13" s="18" t="s">
        <v>8</v>
      </c>
      <c r="C13" s="19" t="s">
        <v>9</v>
      </c>
      <c r="D13" s="20" t="s">
        <v>10</v>
      </c>
      <c r="E13" s="19" t="s">
        <v>11</v>
      </c>
      <c r="F13" s="19" t="s">
        <v>12</v>
      </c>
      <c r="G13" s="18" t="s">
        <v>8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2">
        <v>1.0</v>
      </c>
      <c r="B14" s="23" t="s">
        <v>13</v>
      </c>
      <c r="C14" s="24">
        <f>6500000*75%</f>
        <v>4875000</v>
      </c>
      <c r="D14" s="25">
        <v>45579.0</v>
      </c>
      <c r="E14" s="24">
        <v>4875000.0</v>
      </c>
      <c r="F14" s="26">
        <f t="shared" ref="F14:F15" si="1">C14-E14</f>
        <v>0</v>
      </c>
      <c r="G14" s="27" t="str">
        <f t="shared" ref="G14:G15" si="2">if(E14&gt;=C14,"Lunas","Tunggakan")</f>
        <v>Lunas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>
      <c r="A15" s="28">
        <v>2.0</v>
      </c>
      <c r="B15" s="29" t="s">
        <v>14</v>
      </c>
      <c r="C15" s="24">
        <v>4875000.0</v>
      </c>
      <c r="D15" s="25">
        <v>45701.0</v>
      </c>
      <c r="E15" s="24">
        <v>4875000.0</v>
      </c>
      <c r="F15" s="26">
        <f t="shared" si="1"/>
        <v>0</v>
      </c>
      <c r="G15" s="27" t="str">
        <f t="shared" si="2"/>
        <v>Lunas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>
      <c r="A16" s="30">
        <v>3.0</v>
      </c>
      <c r="B16" s="29" t="s">
        <v>15</v>
      </c>
      <c r="C16" s="24">
        <v>4875000.0</v>
      </c>
      <c r="D16" s="25">
        <v>45890.0</v>
      </c>
      <c r="E16" s="24">
        <v>3000000.0</v>
      </c>
      <c r="F16" s="26">
        <f>C16-E16-E17</f>
        <v>0</v>
      </c>
      <c r="G16" s="30" t="s">
        <v>16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A17" s="27"/>
      <c r="B17" s="31"/>
      <c r="C17" s="26"/>
      <c r="D17" s="25">
        <v>45901.0</v>
      </c>
      <c r="E17" s="24">
        <v>1875000.0</v>
      </c>
      <c r="F17" s="26"/>
      <c r="G17" s="27"/>
      <c r="H17" s="2"/>
      <c r="I17" s="3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3"/>
      <c r="B18" s="34"/>
      <c r="C18" s="35"/>
      <c r="D18" s="36"/>
      <c r="E18" s="35"/>
      <c r="F18" s="35"/>
      <c r="G18" s="37"/>
      <c r="H18" s="2"/>
      <c r="I18" s="3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8" t="s">
        <v>17</v>
      </c>
      <c r="B19" s="39"/>
      <c r="C19" s="39"/>
      <c r="D19" s="40"/>
      <c r="E19" s="41">
        <f t="shared" ref="E19:F19" si="3">SUM(E14:E18)</f>
        <v>14625000</v>
      </c>
      <c r="F19" s="42">
        <f t="shared" si="3"/>
        <v>0</v>
      </c>
      <c r="G19" s="43"/>
      <c r="H19" s="44"/>
      <c r="I19" s="44"/>
      <c r="J19" s="44"/>
      <c r="K19" s="45"/>
      <c r="L19" s="46"/>
      <c r="M19" s="46"/>
      <c r="N19" s="46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>
      <c r="A20" s="47"/>
      <c r="B20" s="47"/>
      <c r="C20" s="3"/>
      <c r="D20" s="4"/>
      <c r="E20" s="3"/>
      <c r="F20" s="3"/>
      <c r="G20" s="2"/>
      <c r="H20" s="2"/>
      <c r="I20" s="2"/>
      <c r="J20" s="2"/>
      <c r="K20" s="5"/>
      <c r="L20" s="6"/>
      <c r="M20" s="6"/>
      <c r="N20" s="6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8" t="s">
        <v>18</v>
      </c>
      <c r="B21" s="2"/>
      <c r="C21" s="3"/>
      <c r="D21" s="4"/>
      <c r="E21" s="3"/>
      <c r="F21" s="3"/>
      <c r="G21" s="2"/>
      <c r="H21" s="2"/>
      <c r="I21" s="2"/>
      <c r="J21" s="2"/>
      <c r="K21" s="5"/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4"/>
      <c r="B22" s="14"/>
      <c r="C22" s="15"/>
      <c r="D22" s="16"/>
      <c r="E22" s="15"/>
      <c r="F22" s="15"/>
      <c r="G22" s="14"/>
      <c r="H22" s="2"/>
      <c r="I22" s="2"/>
      <c r="J22" s="2"/>
      <c r="K22" s="5"/>
      <c r="L22" s="6"/>
      <c r="M22" s="6"/>
      <c r="N22" s="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9" t="s">
        <v>7</v>
      </c>
      <c r="B23" s="50" t="s">
        <v>8</v>
      </c>
      <c r="C23" s="51" t="s">
        <v>9</v>
      </c>
      <c r="D23" s="52" t="s">
        <v>10</v>
      </c>
      <c r="E23" s="51" t="s">
        <v>11</v>
      </c>
      <c r="F23" s="51" t="s">
        <v>12</v>
      </c>
      <c r="G23" s="50" t="s">
        <v>8</v>
      </c>
      <c r="H23" s="53"/>
      <c r="I23" s="53"/>
      <c r="J23" s="53"/>
      <c r="K23" s="54"/>
      <c r="L23" s="55"/>
      <c r="M23" s="55"/>
      <c r="N23" s="55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ht="39.0" customHeight="1">
      <c r="A24" s="56">
        <v>1.0</v>
      </c>
      <c r="B24" s="57" t="s">
        <v>19</v>
      </c>
      <c r="C24" s="58">
        <v>400000.0</v>
      </c>
      <c r="D24" s="59">
        <v>45521.0</v>
      </c>
      <c r="E24" s="60">
        <v>400000.0</v>
      </c>
      <c r="F24" s="58">
        <f t="shared" ref="F24:F25" si="4">C24-E24</f>
        <v>0</v>
      </c>
      <c r="G24" s="60" t="s">
        <v>20</v>
      </c>
      <c r="H24" s="21"/>
      <c r="I24" s="21"/>
      <c r="J24" s="21"/>
      <c r="K24" s="61"/>
      <c r="L24" s="62"/>
      <c r="M24" s="62"/>
      <c r="N24" s="62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39.0" customHeight="1">
      <c r="A25" s="56">
        <v>2.0</v>
      </c>
      <c r="B25" s="63" t="s">
        <v>21</v>
      </c>
      <c r="C25" s="64">
        <v>750000.0</v>
      </c>
      <c r="D25" s="59">
        <v>45575.0</v>
      </c>
      <c r="E25" s="64">
        <v>750000.0</v>
      </c>
      <c r="F25" s="58">
        <f t="shared" si="4"/>
        <v>0</v>
      </c>
      <c r="G25" s="58" t="str">
        <f>if(E25&gt;=C25,"Lunas","Tunggakan")</f>
        <v>Lunas</v>
      </c>
      <c r="H25" s="21"/>
      <c r="I25" s="21"/>
      <c r="J25" s="21"/>
      <c r="K25" s="61"/>
      <c r="L25" s="62"/>
      <c r="M25" s="62"/>
      <c r="N25" s="62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65">
        <v>3.0</v>
      </c>
      <c r="B26" s="66" t="s">
        <v>22</v>
      </c>
      <c r="C26" s="67">
        <v>7000000.0</v>
      </c>
      <c r="D26" s="68">
        <v>45563.0</v>
      </c>
      <c r="E26" s="64">
        <v>1950000.0</v>
      </c>
      <c r="F26" s="69">
        <f>C26-E26-E27</f>
        <v>2000</v>
      </c>
      <c r="G26" s="67" t="s">
        <v>20</v>
      </c>
      <c r="H26" s="70"/>
      <c r="I26" s="2"/>
      <c r="J26" s="2"/>
      <c r="K26" s="5"/>
      <c r="L26" s="6"/>
      <c r="M26" s="6"/>
      <c r="N26" s="6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71"/>
      <c r="B27" s="40"/>
      <c r="C27" s="71"/>
      <c r="D27" s="72">
        <v>45575.0</v>
      </c>
      <c r="E27" s="73">
        <v>5048000.0</v>
      </c>
      <c r="F27" s="71"/>
      <c r="G27" s="71"/>
      <c r="H27" s="70"/>
      <c r="I27" s="2"/>
      <c r="J27" s="2"/>
      <c r="K27" s="5"/>
      <c r="L27" s="6"/>
      <c r="M27" s="6"/>
      <c r="N27" s="6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6">
        <v>4.0</v>
      </c>
      <c r="B28" s="74" t="s">
        <v>23</v>
      </c>
      <c r="C28" s="73">
        <v>4100000.0</v>
      </c>
      <c r="D28" s="72">
        <v>45575.0</v>
      </c>
      <c r="E28" s="73">
        <v>4100000.0</v>
      </c>
      <c r="F28" s="58">
        <f>C28-E28</f>
        <v>0</v>
      </c>
      <c r="G28" s="58" t="str">
        <f>if(E28&gt;=C28,"Lunas","Tunggakan")</f>
        <v>Lunas</v>
      </c>
      <c r="H28" s="70"/>
      <c r="I28" s="2"/>
      <c r="J28" s="2"/>
      <c r="K28" s="5"/>
      <c r="L28" s="6"/>
      <c r="M28" s="6"/>
      <c r="N28" s="6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75">
        <v>5.0</v>
      </c>
      <c r="B29" s="76" t="s">
        <v>24</v>
      </c>
      <c r="C29" s="35"/>
      <c r="D29" s="36"/>
      <c r="E29" s="35"/>
      <c r="F29" s="77"/>
      <c r="G29" s="34"/>
      <c r="H29" s="2"/>
      <c r="I29" s="2"/>
      <c r="J29" s="2"/>
      <c r="K29" s="5"/>
      <c r="L29" s="6"/>
      <c r="M29" s="6"/>
      <c r="N29" s="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78" t="s">
        <v>25</v>
      </c>
      <c r="B30" s="39"/>
      <c r="C30" s="39"/>
      <c r="D30" s="40"/>
      <c r="E30" s="79">
        <f>sum(E24:E29)</f>
        <v>12248000</v>
      </c>
      <c r="F30" s="79">
        <f>SUM(F24:F29)</f>
        <v>2000</v>
      </c>
      <c r="G30" s="80"/>
      <c r="H30" s="81"/>
      <c r="I30" s="81"/>
      <c r="J30" s="81"/>
      <c r="K30" s="82"/>
      <c r="L30" s="83"/>
      <c r="M30" s="83"/>
      <c r="N30" s="83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>
      <c r="A31" s="84" t="s">
        <v>26</v>
      </c>
      <c r="B31" s="39"/>
      <c r="C31" s="39"/>
      <c r="D31" s="40"/>
      <c r="E31" s="85">
        <f>E30+E19</f>
        <v>26873000</v>
      </c>
      <c r="F31" s="86">
        <f>F19+F30</f>
        <v>2000</v>
      </c>
      <c r="G31" s="87"/>
      <c r="H31" s="81"/>
      <c r="I31" s="81"/>
      <c r="J31" s="81"/>
      <c r="K31" s="82"/>
      <c r="L31" s="83"/>
      <c r="M31" s="83"/>
      <c r="N31" s="83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>
      <c r="A32" s="47"/>
      <c r="E32" s="3"/>
      <c r="F32" s="88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89"/>
      <c r="B33" s="9"/>
      <c r="C33" s="10"/>
      <c r="D33" s="10"/>
      <c r="E33" s="90"/>
      <c r="F33" s="91"/>
      <c r="G33" s="10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92" t="s">
        <v>27</v>
      </c>
      <c r="G34" s="93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92" t="s">
        <v>28</v>
      </c>
      <c r="G35" s="93"/>
      <c r="H35" s="2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92" t="s">
        <v>29</v>
      </c>
      <c r="G36" s="93"/>
      <c r="H36" s="2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94" t="s">
        <v>30</v>
      </c>
      <c r="B37" s="10"/>
      <c r="C37" s="10"/>
      <c r="D37" s="10"/>
      <c r="E37" s="10"/>
      <c r="F37" s="10"/>
      <c r="G37" s="95"/>
      <c r="H37" s="96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7.5" customHeight="1">
      <c r="A38" s="2"/>
      <c r="B38" s="2"/>
      <c r="C38" s="3"/>
      <c r="D38" s="4"/>
      <c r="E38" s="3"/>
      <c r="F38" s="97" t="s">
        <v>31</v>
      </c>
      <c r="G38" s="98">
        <v>45701.0</v>
      </c>
      <c r="H38" s="99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5.25" customHeight="1">
      <c r="A39" s="2"/>
      <c r="B39" s="3"/>
      <c r="C39" s="3"/>
      <c r="D39" s="4"/>
      <c r="E39" s="3"/>
      <c r="F39" s="100" t="s">
        <v>32</v>
      </c>
      <c r="H39" s="3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00" t="s">
        <v>33</v>
      </c>
      <c r="D40" s="4"/>
      <c r="E40" s="3"/>
      <c r="F40" s="100" t="s">
        <v>34</v>
      </c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4"/>
      <c r="E41" s="3"/>
      <c r="F41" s="3"/>
      <c r="G41" s="96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3"/>
      <c r="D42" s="4"/>
      <c r="E42" s="3"/>
      <c r="F42" s="3"/>
      <c r="G42" s="2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3"/>
      <c r="D43" s="4"/>
      <c r="E43" s="3"/>
      <c r="F43" s="88"/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3"/>
      <c r="C44" s="3"/>
      <c r="D44" s="4"/>
      <c r="E44" s="3"/>
      <c r="F44" s="3"/>
      <c r="G44" s="3"/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01" t="s">
        <v>35</v>
      </c>
      <c r="C45" s="10"/>
      <c r="D45" s="4"/>
      <c r="E45" s="3"/>
      <c r="F45" s="102" t="s">
        <v>36</v>
      </c>
      <c r="G45" s="10"/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03" t="s">
        <v>37</v>
      </c>
      <c r="D46" s="4"/>
      <c r="E46" s="3"/>
      <c r="F46" s="104" t="s">
        <v>38</v>
      </c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4"/>
      <c r="E47" s="88"/>
      <c r="G47" s="2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D48" s="4"/>
      <c r="E48" s="88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3"/>
      <c r="F49" s="3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5"/>
      <c r="L969" s="6"/>
      <c r="M969" s="6"/>
      <c r="N969" s="6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5"/>
      <c r="L970" s="6"/>
      <c r="M970" s="6"/>
      <c r="N970" s="6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4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4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4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4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4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4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4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4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4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4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4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3"/>
      <c r="D1003" s="4"/>
      <c r="E1003" s="3"/>
      <c r="F1003" s="3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3"/>
      <c r="D1004" s="4"/>
      <c r="E1004" s="3"/>
      <c r="F1004" s="3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mergeCells count="34">
    <mergeCell ref="C2:G2"/>
    <mergeCell ref="C4:G4"/>
    <mergeCell ref="A5:G5"/>
    <mergeCell ref="A7:H7"/>
    <mergeCell ref="A8:H8"/>
    <mergeCell ref="A9:H9"/>
    <mergeCell ref="A10:G10"/>
    <mergeCell ref="A19:D19"/>
    <mergeCell ref="A26:A27"/>
    <mergeCell ref="B26:B27"/>
    <mergeCell ref="C26:C27"/>
    <mergeCell ref="F26:F27"/>
    <mergeCell ref="G26:G27"/>
    <mergeCell ref="A30:D30"/>
    <mergeCell ref="A31:D31"/>
    <mergeCell ref="B32:D32"/>
    <mergeCell ref="F32:G32"/>
    <mergeCell ref="B33:D33"/>
    <mergeCell ref="F33:G33"/>
    <mergeCell ref="A34:G34"/>
    <mergeCell ref="A35:G35"/>
    <mergeCell ref="B45:C45"/>
    <mergeCell ref="B46:C46"/>
    <mergeCell ref="B48:C48"/>
    <mergeCell ref="F46:G46"/>
    <mergeCell ref="E47:F47"/>
    <mergeCell ref="E48:G48"/>
    <mergeCell ref="A36:G36"/>
    <mergeCell ref="A37:G37"/>
    <mergeCell ref="F39:G39"/>
    <mergeCell ref="B40:C40"/>
    <mergeCell ref="F40:G40"/>
    <mergeCell ref="F43:G43"/>
    <mergeCell ref="F45:G45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