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/Y8g5NgJK9dRnZSGfei18kdIpdCPfv+d0+z/P2a4MI0="/>
    </ext>
  </extLst>
</workbook>
</file>

<file path=xl/sharedStrings.xml><?xml version="1.0" encoding="utf-8"?>
<sst xmlns="http://schemas.openxmlformats.org/spreadsheetml/2006/main" count="50" uniqueCount="42">
  <si>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</si>
  <si>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</si>
  <si>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</si>
  <si>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220010203</t>
  </si>
  <si>
    <t>Nama     : I Putu Angga Dana Paramarta</t>
  </si>
  <si>
    <t>Prodi      : S1- SISTEM KOMPUTER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</si>
  <si>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</si>
  <si>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</si>
  <si>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</si>
  <si>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</si>
  <si>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</si>
  <si>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</si>
  <si>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</si>
  <si>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</si>
  <si>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Genap 2023/2024</t>
  </si>
  <si>
    <t>Ganjil 2024/2025</t>
  </si>
  <si>
    <t>Genap 2024/2025</t>
  </si>
  <si>
    <t xml:space="preserve">Tunggakan </t>
  </si>
  <si>
    <t xml:space="preserve">Tidak Aktif </t>
  </si>
  <si>
    <t>Total Rp. 2.000.000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</si>
  <si>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</si>
  <si>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</si>
  <si>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</si>
  <si>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</si>
  <si>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Pindahan Dari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</si>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</sst>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21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sz val="14.0"/>
      <color theme="1"/>
      <name val="Times New Roman"/>
    </font>
    <font>
      <b/>
      <i/>
      <sz val="11.0"/>
      <color theme="1"/>
      <name val="Calibri"/>
    </font>
    <font>
      <b/>
      <sz val="14.0"/>
      <color theme="1"/>
      <name val="&quot;Times New Roman&quot;"/>
    </font>
    <font>
      <b/>
      <sz val="14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8.0"/>
      <color theme="1"/>
      <name val="Calibri"/>
    </font>
    <font>
      <b/>
      <sz val="16.0"/>
      <color theme="1"/>
      <name val="&quot;Times New Roman&quot;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5" fillId="0" fontId="9" numFmtId="0" xfId="0" applyAlignment="1" applyBorder="1" applyFont="1">
      <alignment horizontal="right" vertical="center"/>
    </xf>
    <xf borderId="6" fillId="3" fontId="2" numFmtId="0" xfId="0" applyAlignment="1" applyBorder="1" applyFill="1" applyFont="1">
      <alignment shrinkToFit="0" vertical="center" wrapText="1"/>
    </xf>
    <xf borderId="6" fillId="0" fontId="2" numFmtId="164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6" fillId="0" fontId="2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5" fillId="0" fontId="9" numFmtId="0" xfId="0" applyAlignment="1" applyBorder="1" applyFont="1">
      <alignment horizontal="right" readingOrder="0" vertical="center"/>
    </xf>
    <xf borderId="6" fillId="3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5" fillId="0" fontId="6" numFmtId="0" xfId="0" applyBorder="1" applyFont="1"/>
    <xf borderId="6" fillId="0" fontId="6" numFmtId="0" xfId="0" applyBorder="1" applyFont="1"/>
    <xf borderId="4" fillId="0" fontId="2" numFmtId="165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5" fillId="0" fontId="10" numFmtId="0" xfId="0" applyAlignment="1" applyBorder="1" applyFont="1">
      <alignment horizontal="right" readingOrder="0" vertical="center"/>
    </xf>
    <xf borderId="4" fillId="0" fontId="2" numFmtId="165" xfId="0" applyAlignment="1" applyBorder="1" applyFont="1" applyNumberFormat="1">
      <alignment horizontal="right" readingOrder="0" vertical="center"/>
    </xf>
    <xf borderId="4" fillId="0" fontId="2" numFmtId="165" xfId="0" applyAlignment="1" applyBorder="1" applyFont="1" applyNumberFormat="1">
      <alignment horizontal="right" readingOrder="0" vertical="center"/>
    </xf>
    <xf borderId="6" fillId="0" fontId="2" numFmtId="164" xfId="0" applyAlignment="1" applyBorder="1" applyFont="1" applyNumberFormat="1">
      <alignment horizontal="right" readingOrder="0" vertical="center"/>
    </xf>
    <xf borderId="6" fillId="4" fontId="2" numFmtId="165" xfId="0" applyAlignment="1" applyBorder="1" applyFill="1" applyFont="1" applyNumberFormat="1">
      <alignment readingOrder="0" vertical="center"/>
    </xf>
    <xf borderId="4" fillId="4" fontId="2" numFmtId="164" xfId="0" applyAlignment="1" applyBorder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2" fillId="4" fontId="11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right" readingOrder="0" vertical="center"/>
    </xf>
    <xf borderId="4" fillId="3" fontId="2" numFmtId="0" xfId="0" applyAlignment="1" applyBorder="1" applyFont="1">
      <alignment readingOrder="0"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7" fillId="2" fontId="12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4" fillId="2" fontId="12" numFmtId="164" xfId="0" applyAlignment="1" applyBorder="1" applyFont="1" applyNumberFormat="1">
      <alignment horizontal="center" vertical="center"/>
    </xf>
    <xf borderId="4" fillId="2" fontId="13" numFmtId="164" xfId="0" applyAlignment="1" applyBorder="1" applyFont="1" applyNumberFormat="1">
      <alignment horizontal="center" vertical="center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vertical="bottom"/>
    </xf>
    <xf borderId="0" fillId="0" fontId="13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4" numFmtId="0" xfId="0" applyAlignment="1" applyFont="1">
      <alignment shrinkToFit="0" vertical="center" wrapText="0"/>
    </xf>
    <xf borderId="3" fillId="3" fontId="15" numFmtId="0" xfId="0" applyAlignment="1" applyBorder="1" applyFont="1">
      <alignment horizontal="center" vertical="center"/>
    </xf>
    <xf borderId="4" fillId="3" fontId="15" numFmtId="0" xfId="0" applyAlignment="1" applyBorder="1" applyFont="1">
      <alignment shrinkToFit="0" vertical="center" wrapText="1"/>
    </xf>
    <xf borderId="0" fillId="0" fontId="16" numFmtId="0" xfId="0" applyAlignment="1" applyFont="1">
      <alignment horizontal="center" readingOrder="0" vertical="center"/>
    </xf>
    <xf borderId="4" fillId="3" fontId="15" numFmtId="0" xfId="0" applyAlignment="1" applyBorder="1" applyFont="1">
      <alignment vertical="center"/>
    </xf>
    <xf borderId="4" fillId="3" fontId="2" numFmtId="164" xfId="0" applyAlignment="1" applyBorder="1" applyFont="1" applyNumberFormat="1">
      <alignment vertical="center"/>
    </xf>
    <xf borderId="7" fillId="2" fontId="15" numFmtId="0" xfId="0" applyAlignment="1" applyBorder="1" applyFont="1">
      <alignment horizontal="center" vertical="center"/>
    </xf>
    <xf borderId="4" fillId="2" fontId="15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7" fillId="5" fontId="17" numFmtId="0" xfId="0" applyAlignment="1" applyBorder="1" applyFill="1" applyFont="1">
      <alignment horizontal="center" vertical="center"/>
    </xf>
    <xf borderId="4" fillId="5" fontId="17" numFmtId="164" xfId="0" applyAlignment="1" applyBorder="1" applyFont="1" applyNumberFormat="1">
      <alignment horizontal="center" vertical="center"/>
    </xf>
    <xf borderId="6" fillId="5" fontId="18" numFmtId="164" xfId="0" applyAlignment="1" applyBorder="1" applyFont="1" applyNumberFormat="1">
      <alignment horizontal="center" vertical="center"/>
    </xf>
    <xf borderId="6" fillId="5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15" numFmtId="0" xfId="0" applyAlignment="1" applyBorder="1" applyFont="1">
      <alignment vertical="center"/>
    </xf>
    <xf borderId="9" fillId="0" fontId="6" numFmtId="0" xfId="0" applyBorder="1" applyFont="1"/>
    <xf borderId="10" fillId="0" fontId="15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9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20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1076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7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1.0</v>
      </c>
      <c r="B14" s="23" t="s">
        <v>13</v>
      </c>
      <c r="C14" s="24">
        <v>5500000.0</v>
      </c>
      <c r="D14" s="25">
        <v>45194.0</v>
      </c>
      <c r="E14" s="26">
        <v>2500000.0</v>
      </c>
      <c r="F14" s="24">
        <f>C14-E14-E15</f>
        <v>0</v>
      </c>
      <c r="G14" s="27" t="str">
        <f>IF(F14&lt;=C16,"Lunas","Tunggakan")
</f>
        <v>Lunas</v>
      </c>
      <c r="H14" s="2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/>
      <c r="B15" s="30"/>
      <c r="C15" s="30"/>
      <c r="D15" s="25">
        <v>45353.0</v>
      </c>
      <c r="E15" s="26">
        <v>3000000.0</v>
      </c>
      <c r="F15" s="30"/>
      <c r="G15" s="30"/>
      <c r="H15" s="2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1">
        <v>2.0</v>
      </c>
      <c r="B16" s="32" t="s">
        <v>14</v>
      </c>
      <c r="C16" s="24">
        <v>5500000.0</v>
      </c>
      <c r="D16" s="25">
        <v>45329.0</v>
      </c>
      <c r="E16" s="26">
        <v>2750000.0</v>
      </c>
      <c r="F16" s="24">
        <f>C16-E16-E17-E18-E19</f>
        <v>0</v>
      </c>
      <c r="G16" s="33" t="str">
        <f>IF(F16&lt;=C16,"Lunas","Tunggakan")
</f>
        <v>Lunas</v>
      </c>
      <c r="H16" s="2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4"/>
      <c r="B17" s="35"/>
      <c r="C17" s="35"/>
      <c r="D17" s="36">
        <v>45410.0</v>
      </c>
      <c r="E17" s="37">
        <v>750000.0</v>
      </c>
      <c r="F17" s="35"/>
      <c r="G17" s="35"/>
      <c r="H17" s="2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4"/>
      <c r="B18" s="35"/>
      <c r="C18" s="35"/>
      <c r="D18" s="38">
        <v>45499.0</v>
      </c>
      <c r="E18" s="37">
        <v>1000000.0</v>
      </c>
      <c r="F18" s="35"/>
      <c r="G18" s="35"/>
      <c r="H18" s="2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/>
      <c r="B19" s="30"/>
      <c r="C19" s="30"/>
      <c r="D19" s="38">
        <v>45504.0</v>
      </c>
      <c r="E19" s="37">
        <v>1000000.0</v>
      </c>
      <c r="F19" s="30"/>
      <c r="G19" s="30"/>
      <c r="H19" s="2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9">
        <v>3.0</v>
      </c>
      <c r="B20" s="32" t="s">
        <v>15</v>
      </c>
      <c r="C20" s="24">
        <v>5500000.0</v>
      </c>
      <c r="D20" s="25">
        <v>45531.0</v>
      </c>
      <c r="E20" s="26">
        <v>2000000.0</v>
      </c>
      <c r="F20" s="24">
        <f>C20-E20-E21-E22-E23</f>
        <v>-100000</v>
      </c>
      <c r="G20" s="33" t="str">
        <f>IF(F20&gt;=C20,"Lunas","Tunggakan")
</f>
        <v>Tunggakan</v>
      </c>
      <c r="H20" s="2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4"/>
      <c r="B21" s="35"/>
      <c r="C21" s="35"/>
      <c r="D21" s="40">
        <v>45535.0</v>
      </c>
      <c r="E21" s="26">
        <v>500000.0</v>
      </c>
      <c r="F21" s="35"/>
      <c r="G21" s="35"/>
      <c r="H21" s="2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9"/>
      <c r="B22" s="30"/>
      <c r="C22" s="30"/>
      <c r="D22" s="41">
        <v>45714.0</v>
      </c>
      <c r="E22" s="26">
        <v>2000000.0</v>
      </c>
      <c r="F22" s="30"/>
      <c r="G22" s="30"/>
      <c r="H22" s="2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1">
        <v>4.0</v>
      </c>
      <c r="B23" s="32" t="s">
        <v>16</v>
      </c>
      <c r="C23" s="42">
        <v>1100000.0</v>
      </c>
      <c r="D23" s="43">
        <v>45716.0</v>
      </c>
      <c r="E23" s="44">
        <v>1100000.0</v>
      </c>
      <c r="F23" s="24">
        <f>C23-E23</f>
        <v>0</v>
      </c>
      <c r="G23" s="27" t="s">
        <v>17</v>
      </c>
      <c r="H23" s="45" t="s">
        <v>18</v>
      </c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4"/>
      <c r="B24" s="35"/>
      <c r="C24" s="35"/>
      <c r="D24" s="30"/>
      <c r="E24" s="44">
        <v>900000.0</v>
      </c>
      <c r="F24" s="35"/>
      <c r="G24" s="35"/>
      <c r="H24" s="2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9"/>
      <c r="B25" s="30"/>
      <c r="C25" s="30"/>
      <c r="D25" s="46" t="s">
        <v>19</v>
      </c>
      <c r="E25" s="30"/>
      <c r="F25" s="30"/>
      <c r="G25" s="30"/>
      <c r="H25" s="2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7">
        <v>5.0</v>
      </c>
      <c r="B26" s="48" t="s">
        <v>20</v>
      </c>
      <c r="C26" s="26">
        <v>5500000.0</v>
      </c>
      <c r="D26" s="38"/>
      <c r="E26" s="37"/>
      <c r="F26" s="49">
        <f>C26-E24</f>
        <v>4600000</v>
      </c>
      <c r="G26" s="50"/>
      <c r="H26" s="2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1"/>
      <c r="B27" s="52"/>
      <c r="C27" s="53"/>
      <c r="D27" s="54"/>
      <c r="E27" s="53"/>
      <c r="F27" s="53"/>
      <c r="G27" s="55"/>
      <c r="H27" s="2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6" t="s">
        <v>21</v>
      </c>
      <c r="B28" s="57"/>
      <c r="C28" s="57"/>
      <c r="D28" s="30"/>
      <c r="E28" s="58">
        <f t="shared" ref="E28:F28" si="1">SUM(E14:E27)</f>
        <v>17500000</v>
      </c>
      <c r="F28" s="59">
        <f t="shared" si="1"/>
        <v>4500000</v>
      </c>
      <c r="G28" s="60"/>
      <c r="H28" s="61"/>
      <c r="I28" s="61"/>
      <c r="J28" s="61"/>
      <c r="K28" s="62"/>
      <c r="L28" s="63"/>
      <c r="M28" s="63"/>
      <c r="N28" s="63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4"/>
      <c r="B29" s="64"/>
      <c r="C29" s="3"/>
      <c r="D29" s="4"/>
      <c r="E29" s="3"/>
      <c r="F29" s="3"/>
      <c r="G29" s="2"/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5" t="s">
        <v>22</v>
      </c>
      <c r="B30" s="2"/>
      <c r="C30" s="3"/>
      <c r="D30" s="4"/>
      <c r="E30" s="3"/>
      <c r="F30" s="3"/>
      <c r="G30" s="2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4"/>
      <c r="B31" s="14"/>
      <c r="C31" s="15"/>
      <c r="D31" s="16"/>
      <c r="E31" s="15"/>
      <c r="F31" s="15"/>
      <c r="G31" s="14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7" t="s">
        <v>7</v>
      </c>
      <c r="B32" s="18" t="s">
        <v>8</v>
      </c>
      <c r="C32" s="19" t="s">
        <v>9</v>
      </c>
      <c r="D32" s="20" t="s">
        <v>10</v>
      </c>
      <c r="E32" s="19" t="s">
        <v>11</v>
      </c>
      <c r="F32" s="19" t="s">
        <v>12</v>
      </c>
      <c r="G32" s="18" t="s">
        <v>8</v>
      </c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6">
        <v>1.0</v>
      </c>
      <c r="B33" s="67" t="s">
        <v>23</v>
      </c>
      <c r="C33" s="49">
        <v>300000.0</v>
      </c>
      <c r="D33" s="68" t="s">
        <v>24</v>
      </c>
      <c r="G33" s="35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6">
        <v>2.0</v>
      </c>
      <c r="B34" s="69" t="s">
        <v>25</v>
      </c>
      <c r="C34" s="49">
        <v>1350000.0</v>
      </c>
      <c r="G34" s="35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6">
        <v>3.0</v>
      </c>
      <c r="B35" s="67" t="s">
        <v>26</v>
      </c>
      <c r="C35" s="49">
        <v>8000000.0</v>
      </c>
      <c r="D35" s="57"/>
      <c r="E35" s="57"/>
      <c r="F35" s="57"/>
      <c r="G35" s="30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6">
        <v>4.0</v>
      </c>
      <c r="B36" s="67" t="s">
        <v>27</v>
      </c>
      <c r="C36" s="53"/>
      <c r="D36" s="54"/>
      <c r="E36" s="53"/>
      <c r="F36" s="70"/>
      <c r="G36" s="52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1" t="s">
        <v>28</v>
      </c>
      <c r="B37" s="57"/>
      <c r="C37" s="57"/>
      <c r="D37" s="30"/>
      <c r="E37" s="72">
        <f>sum(E33:E36)</f>
        <v>0</v>
      </c>
      <c r="F37" s="72">
        <f>SUM(F33:F36)</f>
        <v>0</v>
      </c>
      <c r="G37" s="73"/>
      <c r="H37" s="5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4" t="s">
        <v>29</v>
      </c>
      <c r="B38" s="57"/>
      <c r="C38" s="57"/>
      <c r="D38" s="30"/>
      <c r="E38" s="75">
        <f>E37+E28</f>
        <v>17500000</v>
      </c>
      <c r="F38" s="76">
        <f>F28+F37</f>
        <v>4500000</v>
      </c>
      <c r="G38" s="77"/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4"/>
      <c r="B39" s="78"/>
      <c r="E39" s="3"/>
      <c r="F39" s="78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9"/>
      <c r="B40" s="10"/>
      <c r="C40" s="11"/>
      <c r="D40" s="11"/>
      <c r="E40" s="80"/>
      <c r="F40" s="10"/>
      <c r="G40" s="11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1" t="s">
        <v>30</v>
      </c>
      <c r="G41" s="8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1" t="s">
        <v>31</v>
      </c>
      <c r="G42" s="82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1" t="s">
        <v>32</v>
      </c>
      <c r="G43" s="82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3" t="s">
        <v>33</v>
      </c>
      <c r="B44" s="11"/>
      <c r="C44" s="11"/>
      <c r="D44" s="11"/>
      <c r="E44" s="11"/>
      <c r="F44" s="11"/>
      <c r="G44" s="84"/>
      <c r="H44" s="8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0.75" customHeight="1">
      <c r="A45" s="2"/>
      <c r="B45" s="2"/>
      <c r="C45" s="3"/>
      <c r="D45" s="4"/>
      <c r="E45" s="3"/>
      <c r="F45" s="86" t="s">
        <v>34</v>
      </c>
      <c r="G45" s="87">
        <v>45714.0</v>
      </c>
      <c r="H45" s="88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7.0" customHeight="1">
      <c r="A46" s="2"/>
      <c r="B46" s="3"/>
      <c r="C46" s="3"/>
      <c r="D46" s="4"/>
      <c r="E46" s="3"/>
      <c r="F46" s="89" t="s">
        <v>35</v>
      </c>
      <c r="H46" s="90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89" t="s">
        <v>36</v>
      </c>
      <c r="D47" s="4"/>
      <c r="E47" s="3"/>
      <c r="F47" s="89" t="s">
        <v>37</v>
      </c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4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78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3"/>
      <c r="C51" s="3"/>
      <c r="D51" s="4"/>
      <c r="E51" s="3"/>
      <c r="F51" s="3"/>
      <c r="G51" s="3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91" t="s">
        <v>38</v>
      </c>
      <c r="C52" s="11"/>
      <c r="D52" s="4"/>
      <c r="E52" s="3"/>
      <c r="F52" s="92" t="s">
        <v>39</v>
      </c>
      <c r="G52" s="11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93" t="s">
        <v>40</v>
      </c>
      <c r="D53" s="4"/>
      <c r="E53" s="3"/>
      <c r="F53" s="94" t="s">
        <v>41</v>
      </c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78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78"/>
      <c r="D55" s="4"/>
      <c r="E55" s="78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6"/>
      <c r="L971" s="7"/>
      <c r="M971" s="7"/>
      <c r="N971" s="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6"/>
      <c r="L972" s="7"/>
      <c r="M972" s="7"/>
      <c r="N972" s="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6"/>
      <c r="L973" s="7"/>
      <c r="M973" s="7"/>
      <c r="N973" s="7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6"/>
      <c r="L974" s="7"/>
      <c r="M974" s="7"/>
      <c r="N974" s="7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6"/>
      <c r="L975" s="7"/>
      <c r="M975" s="7"/>
      <c r="N975" s="7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6"/>
      <c r="L976" s="7"/>
      <c r="M976" s="7"/>
      <c r="N976" s="7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6"/>
      <c r="L977" s="7"/>
      <c r="M977" s="7"/>
      <c r="N977" s="7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2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"/>
      <c r="B1004" s="2"/>
      <c r="C1004" s="3"/>
      <c r="D1004" s="2"/>
      <c r="E1004" s="3"/>
      <c r="F1004" s="3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"/>
      <c r="B1005" s="2"/>
      <c r="C1005" s="3"/>
      <c r="D1005" s="2"/>
      <c r="E1005" s="3"/>
      <c r="F1005" s="3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"/>
      <c r="B1006" s="2"/>
      <c r="C1006" s="3"/>
      <c r="D1006" s="2"/>
      <c r="E1006" s="3"/>
      <c r="F1006" s="3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"/>
      <c r="B1007" s="2"/>
      <c r="C1007" s="3"/>
      <c r="D1007" s="2"/>
      <c r="E1007" s="3"/>
      <c r="F1007" s="3"/>
      <c r="G1007" s="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"/>
      <c r="B1008" s="2"/>
      <c r="C1008" s="3"/>
      <c r="D1008" s="2"/>
      <c r="E1008" s="3"/>
      <c r="F1008" s="3"/>
      <c r="G1008" s="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"/>
      <c r="B1009" s="2"/>
      <c r="C1009" s="3"/>
      <c r="D1009" s="2"/>
      <c r="E1009" s="3"/>
      <c r="F1009" s="3"/>
      <c r="G1009" s="2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"/>
      <c r="B1010" s="2"/>
      <c r="C1010" s="3"/>
      <c r="D1010" s="2"/>
      <c r="E1010" s="3"/>
      <c r="F1010" s="3"/>
      <c r="G1010" s="2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2"/>
      <c r="B1011" s="2"/>
      <c r="C1011" s="3"/>
      <c r="D1011" s="2"/>
      <c r="E1011" s="3"/>
      <c r="F1011" s="3"/>
      <c r="G1011" s="2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52">
    <mergeCell ref="A28:D28"/>
    <mergeCell ref="A37:D37"/>
    <mergeCell ref="A38:D38"/>
    <mergeCell ref="B39:D39"/>
    <mergeCell ref="B40:D40"/>
    <mergeCell ref="A41:G41"/>
    <mergeCell ref="A42:G42"/>
    <mergeCell ref="A43:G43"/>
    <mergeCell ref="A44:G44"/>
    <mergeCell ref="F46:G46"/>
    <mergeCell ref="B47:C47"/>
    <mergeCell ref="F47:G47"/>
    <mergeCell ref="F50:G50"/>
    <mergeCell ref="F52:G52"/>
    <mergeCell ref="C2:G2"/>
    <mergeCell ref="C4:G4"/>
    <mergeCell ref="A5:G5"/>
    <mergeCell ref="A7:H7"/>
    <mergeCell ref="A8:H8"/>
    <mergeCell ref="A9:H9"/>
    <mergeCell ref="A10:G10"/>
    <mergeCell ref="F14:F15"/>
    <mergeCell ref="F16:F19"/>
    <mergeCell ref="F20:F22"/>
    <mergeCell ref="G20:G22"/>
    <mergeCell ref="F23:F25"/>
    <mergeCell ref="G23:G25"/>
    <mergeCell ref="A14:A15"/>
    <mergeCell ref="B14:B15"/>
    <mergeCell ref="C14:C15"/>
    <mergeCell ref="G14:G15"/>
    <mergeCell ref="B16:B19"/>
    <mergeCell ref="C16:C19"/>
    <mergeCell ref="G16:G19"/>
    <mergeCell ref="D25:E25"/>
    <mergeCell ref="D33:G35"/>
    <mergeCell ref="F39:G39"/>
    <mergeCell ref="F40:G40"/>
    <mergeCell ref="D23:D24"/>
    <mergeCell ref="A16:A19"/>
    <mergeCell ref="A20:A22"/>
    <mergeCell ref="B20:B22"/>
    <mergeCell ref="C20:C22"/>
    <mergeCell ref="A23:A25"/>
    <mergeCell ref="B23:B25"/>
    <mergeCell ref="C23:C25"/>
    <mergeCell ref="B52:C52"/>
    <mergeCell ref="B53:C53"/>
    <mergeCell ref="B55:C55"/>
    <mergeCell ref="F53:G53"/>
    <mergeCell ref="E54:F54"/>
    <mergeCell ref="E55:G5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