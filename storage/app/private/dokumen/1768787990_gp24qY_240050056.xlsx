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2ByoIMz+bkXmLwNGdem4HzDuoX6CEB+e4dHFBsTpcA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======
ID#AAABVPcMy-4
MBC Consulting    (2024-09-12 01:26:29)
sudah membuat pengembalian dana DPP dan pendaftaran (GENAP 2024/2025) 9.250.000 dengan no surat 010/MBC/III/2024</t>
      </text>
    </comment>
    <comment authorId="0" ref="C27">
      <text>
        <t xml:space="preserve">======
ID#AAABVPcMy-0
MBC Consulting    (2024-09-12 01:23:35)
sudah membuat pengembalian dana DPP dan pendaftaran (GENAP 2024/2025) 9.250.000 dengan no surat 010/MBC/III/2024</t>
      </text>
    </comment>
  </commentList>
  <extLst>
    <ext uri="GoogleSheetsCustomDataVersion2">
      <go:sheetsCustomData xmlns:go="http://customooxmlschemas.google.com/" r:id="rId1" roundtripDataSignature="AMtx7miLIzreRAmK9gkFUW9Us5XQl+s3EA=="/>
    </ext>
  </extLst>
</comments>
</file>

<file path=xl/sharedStrings.xml><?xml version="1.0" encoding="utf-8"?>
<sst xmlns="http://schemas.openxmlformats.org/spreadsheetml/2006/main" count="49" uniqueCount="39">
  <si>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</si>
  <si>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</si>
  <si>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</si>
  <si>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240050056</t>
  </si>
  <si>
    <t>Nama     : Yosua Perdana Saputra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</si>
  <si>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</si>
  <si>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</si>
  <si>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</si>
  <si>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</si>
  <si>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</si>
  <si>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</si>
  <si>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</si>
  <si>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</si>
  <si>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Ganjil 2024/2025 (I) </t>
  </si>
  <si>
    <t xml:space="preserve">Genap 2024/2025 (II) </t>
  </si>
  <si>
    <t>Pengalihan Dana ITB</t>
  </si>
  <si>
    <t xml:space="preserve">Ganjil 2025/2026 (III) </t>
  </si>
  <si>
    <t>Tunggakan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</si>
  <si>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</si>
  <si>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</si>
  <si>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</si>
  <si>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</si>
  <si>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</si>
  <si>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ITB STIKOM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</si>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</sst>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0" fontId="9" numFmtId="165" xfId="0" applyAlignment="1" applyBorder="1" applyFont="1" applyNumberFormat="1">
      <alignment horizontal="center"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shrinkToFit="0" vertical="center" wrapText="1"/>
    </xf>
    <xf borderId="6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center" readingOrder="0" vertical="center"/>
    </xf>
    <xf borderId="6" fillId="0" fontId="9" numFmtId="164" xfId="0" applyAlignment="1" applyBorder="1" applyFont="1" applyNumberFormat="1">
      <alignment vertical="center"/>
    </xf>
    <xf borderId="6" fillId="0" fontId="9" numFmtId="0" xfId="0" applyAlignment="1" applyBorder="1" applyFont="1">
      <alignment horizontal="center" vertical="center"/>
    </xf>
    <xf borderId="7" fillId="0" fontId="6" numFmtId="0" xfId="0" applyBorder="1" applyFont="1"/>
    <xf borderId="5" fillId="0" fontId="9" numFmtId="165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0" fillId="0" fontId="2" numFmtId="167" xfId="0" applyAlignment="1" applyFont="1" applyNumberFormat="1">
      <alignment vertical="center"/>
    </xf>
    <xf borderId="5" fillId="3" fontId="9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4" fillId="0" fontId="9" numFmtId="165" xfId="0" applyAlignment="1" applyBorder="1" applyFont="1" applyNumberFormat="1">
      <alignment horizontal="center" vertical="center"/>
    </xf>
    <xf borderId="4" fillId="0" fontId="9" numFmtId="164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vertical="center"/>
    </xf>
    <xf borderId="8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readingOrder="0" vertical="center"/>
    </xf>
    <xf borderId="4" fillId="3" fontId="9" numFmtId="0" xfId="0" applyAlignment="1" applyBorder="1" applyFont="1">
      <alignment vertical="center"/>
    </xf>
    <xf borderId="5" fillId="3" fontId="2" numFmtId="164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horizontal="center"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8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2" fillId="4" fontId="8" numFmtId="164" xfId="0" applyAlignment="1" applyBorder="1" applyFont="1" applyNumberFormat="1">
      <alignment horizontal="center" readingOrder="0" vertical="center"/>
    </xf>
    <xf borderId="4" fillId="4" fontId="8" numFmtId="0" xfId="0" applyAlignment="1" applyBorder="1" applyFont="1">
      <alignment horizontal="center" vertical="center"/>
    </xf>
    <xf borderId="4" fillId="4" fontId="8" numFmtId="164" xfId="0" applyAlignment="1" applyBorder="1" applyFont="1" applyNumberFormat="1">
      <alignment horizontal="center" vertical="center"/>
    </xf>
    <xf borderId="9" fillId="4" fontId="8" numFmtId="164" xfId="0" applyAlignment="1" applyBorder="1" applyFont="1" applyNumberFormat="1">
      <alignment horizontal="center" vertical="center"/>
    </xf>
    <xf borderId="9" fillId="4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166" xfId="0" applyAlignment="1" applyFont="1" applyNumberFormat="1">
      <alignment vertical="center"/>
    </xf>
    <xf borderId="0" fillId="0" fontId="8" numFmtId="3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7.86"/>
    <col customWidth="1" min="4" max="4" width="23.14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>
        <v>45526.0</v>
      </c>
      <c r="E14" s="24">
        <v>6000000.0</v>
      </c>
      <c r="F14" s="25">
        <f>C14-E14</f>
        <v>0</v>
      </c>
      <c r="G14" s="20" t="str">
        <f t="shared" ref="G14:G15" si="1">if(C14&gt;=E14,"Lunas","Tunggakan")</f>
        <v>Lunas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6"/>
      <c r="W14" s="26"/>
      <c r="X14" s="26"/>
      <c r="Y14" s="26"/>
      <c r="Z14" s="26"/>
    </row>
    <row r="15">
      <c r="A15" s="27">
        <v>2.0</v>
      </c>
      <c r="B15" s="28" t="s">
        <v>14</v>
      </c>
      <c r="C15" s="29">
        <v>6000000.0</v>
      </c>
      <c r="D15" s="30" t="s">
        <v>15</v>
      </c>
      <c r="E15" s="24">
        <v>250000.0</v>
      </c>
      <c r="F15" s="31">
        <f>C15-E15-E16-E17</f>
        <v>0</v>
      </c>
      <c r="G15" s="32" t="str">
        <f t="shared" si="1"/>
        <v>Lunas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6"/>
      <c r="W15" s="26"/>
      <c r="X15" s="26"/>
      <c r="Y15" s="26"/>
      <c r="Z15" s="26"/>
    </row>
    <row r="16">
      <c r="A16" s="33"/>
      <c r="B16" s="33"/>
      <c r="C16" s="33"/>
      <c r="D16" s="34">
        <v>45712.0</v>
      </c>
      <c r="E16" s="24">
        <v>2050000.0</v>
      </c>
      <c r="F16" s="33"/>
      <c r="G16" s="3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6"/>
      <c r="W16" s="26"/>
      <c r="X16" s="26"/>
      <c r="Y16" s="26"/>
      <c r="Z16" s="26"/>
    </row>
    <row r="17">
      <c r="A17" s="35"/>
      <c r="B17" s="35"/>
      <c r="C17" s="35"/>
      <c r="D17" s="23">
        <v>45724.0</v>
      </c>
      <c r="E17" s="24">
        <v>3700000.0</v>
      </c>
      <c r="F17" s="35"/>
      <c r="G17" s="35"/>
      <c r="H17" s="2"/>
      <c r="I17" s="3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>
        <v>3.0</v>
      </c>
      <c r="B18" s="37" t="s">
        <v>16</v>
      </c>
      <c r="C18" s="24">
        <v>6000000.0</v>
      </c>
      <c r="D18" s="23">
        <v>45897.0</v>
      </c>
      <c r="E18" s="24">
        <v>3000000.0</v>
      </c>
      <c r="F18" s="25">
        <f>C18-E18</f>
        <v>3000000</v>
      </c>
      <c r="G18" s="30" t="s">
        <v>17</v>
      </c>
      <c r="H18" s="2"/>
      <c r="I18" s="3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8"/>
      <c r="B19" s="39"/>
      <c r="C19" s="40"/>
      <c r="D19" s="41"/>
      <c r="E19" s="42"/>
      <c r="F19" s="42"/>
      <c r="G19" s="43"/>
      <c r="H19" s="2"/>
      <c r="I19" s="3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4" t="s">
        <v>18</v>
      </c>
      <c r="B20" s="45"/>
      <c r="C20" s="46">
        <f>sum(C14:C19)</f>
        <v>18000000</v>
      </c>
      <c r="D20" s="47"/>
      <c r="E20" s="47">
        <f t="shared" ref="E20:F20" si="2">SUM(E14:E19)</f>
        <v>15000000</v>
      </c>
      <c r="F20" s="47">
        <f t="shared" si="2"/>
        <v>3000000</v>
      </c>
      <c r="G20" s="48"/>
      <c r="H20" s="49"/>
      <c r="I20" s="49"/>
      <c r="J20" s="49"/>
      <c r="K20" s="50"/>
      <c r="L20" s="51"/>
      <c r="M20" s="51"/>
      <c r="N20" s="51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2"/>
      <c r="B21" s="5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3" t="s">
        <v>19</v>
      </c>
      <c r="B22" s="2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13"/>
      <c r="C23" s="14"/>
      <c r="D23" s="15"/>
      <c r="E23" s="14"/>
      <c r="F23" s="14"/>
      <c r="G23" s="13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7</v>
      </c>
      <c r="B24" s="17" t="s">
        <v>8</v>
      </c>
      <c r="C24" s="18" t="s">
        <v>9</v>
      </c>
      <c r="D24" s="19" t="s">
        <v>10</v>
      </c>
      <c r="E24" s="18" t="s">
        <v>11</v>
      </c>
      <c r="F24" s="18" t="s">
        <v>12</v>
      </c>
      <c r="G24" s="17" t="s">
        <v>8</v>
      </c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4">
        <v>1.0</v>
      </c>
      <c r="B25" s="55" t="s">
        <v>20</v>
      </c>
      <c r="C25" s="56">
        <v>400000.0</v>
      </c>
      <c r="D25" s="57">
        <v>45353.0</v>
      </c>
      <c r="E25" s="56">
        <v>400000.0</v>
      </c>
      <c r="F25" s="56">
        <f t="shared" ref="F25:F26" si="3">C25-E25</f>
        <v>0</v>
      </c>
      <c r="G25" s="56" t="str">
        <f t="shared" ref="G25:G26" si="4">if(E25&gt;=C25,"Lunas","Tunggakan")</f>
        <v>Lunas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4">
        <v>2.0</v>
      </c>
      <c r="B26" s="58" t="s">
        <v>21</v>
      </c>
      <c r="C26" s="56">
        <v>1500000.0</v>
      </c>
      <c r="D26" s="57">
        <v>45353.0</v>
      </c>
      <c r="E26" s="59">
        <v>1500000.0</v>
      </c>
      <c r="F26" s="56">
        <f t="shared" si="3"/>
        <v>0</v>
      </c>
      <c r="G26" s="56" t="str">
        <f t="shared" si="4"/>
        <v>Lunas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4">
        <v>3.0</v>
      </c>
      <c r="B27" s="55" t="s">
        <v>22</v>
      </c>
      <c r="C27" s="56">
        <v>9000000.0</v>
      </c>
      <c r="D27" s="60" t="s">
        <v>15</v>
      </c>
      <c r="E27" s="59">
        <v>9000000.0</v>
      </c>
      <c r="F27" s="59" t="s">
        <v>23</v>
      </c>
      <c r="G27" s="59" t="s">
        <v>23</v>
      </c>
      <c r="H27" s="61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4">
        <v>4.0</v>
      </c>
      <c r="B28" s="55" t="s">
        <v>24</v>
      </c>
      <c r="C28" s="62"/>
      <c r="D28" s="63"/>
      <c r="E28" s="62"/>
      <c r="F28" s="64"/>
      <c r="G28" s="65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6" t="s">
        <v>25</v>
      </c>
      <c r="B29" s="45"/>
      <c r="C29" s="46">
        <f>sum(C25:C28)</f>
        <v>10900000</v>
      </c>
      <c r="D29" s="67"/>
      <c r="E29" s="47">
        <f>sum(E25:E28)</f>
        <v>10900000</v>
      </c>
      <c r="F29" s="47">
        <f>SUM(F25:F28)</f>
        <v>0</v>
      </c>
      <c r="G29" s="48"/>
      <c r="H29" s="49"/>
      <c r="I29" s="49"/>
      <c r="J29" s="49"/>
      <c r="K29" s="50"/>
      <c r="L29" s="51"/>
      <c r="M29" s="51"/>
      <c r="N29" s="51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68" t="s">
        <v>26</v>
      </c>
      <c r="B30" s="45"/>
      <c r="C30" s="69">
        <f>C20+C29</f>
        <v>28900000</v>
      </c>
      <c r="D30" s="70"/>
      <c r="E30" s="71">
        <f>E29+E20</f>
        <v>25900000</v>
      </c>
      <c r="F30" s="72">
        <f>F20+F29</f>
        <v>3000000</v>
      </c>
      <c r="G30" s="73"/>
      <c r="H30" s="74"/>
      <c r="I30" s="74"/>
      <c r="J30" s="74"/>
      <c r="K30" s="75"/>
      <c r="L30" s="76"/>
      <c r="M30" s="76"/>
      <c r="N30" s="76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A31" s="52"/>
      <c r="B31" s="26"/>
      <c r="E31" s="3"/>
      <c r="F31" s="77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8"/>
      <c r="B32" s="9"/>
      <c r="C32" s="10"/>
      <c r="D32" s="10"/>
      <c r="E32" s="79"/>
      <c r="F32" s="80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1" t="s">
        <v>27</v>
      </c>
      <c r="G33" s="82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1" t="s">
        <v>28</v>
      </c>
      <c r="G34" s="82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1" t="s">
        <v>29</v>
      </c>
      <c r="G35" s="82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3" t="s">
        <v>30</v>
      </c>
      <c r="B36" s="10"/>
      <c r="C36" s="10"/>
      <c r="D36" s="10"/>
      <c r="E36" s="10"/>
      <c r="F36" s="10"/>
      <c r="G36" s="84"/>
      <c r="H36" s="85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3"/>
      <c r="D37" s="4"/>
      <c r="E37" s="3"/>
      <c r="F37" s="86" t="s">
        <v>31</v>
      </c>
      <c r="G37" s="87">
        <v>45724.0</v>
      </c>
      <c r="H37" s="88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5.25" customHeight="1">
      <c r="A38" s="2"/>
      <c r="B38" s="3"/>
      <c r="C38" s="3"/>
      <c r="D38" s="4"/>
      <c r="E38" s="3"/>
      <c r="F38" s="89" t="s">
        <v>32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89" t="s">
        <v>33</v>
      </c>
      <c r="D39" s="4"/>
      <c r="E39" s="3"/>
      <c r="F39" s="89" t="s">
        <v>34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85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77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0" t="s">
        <v>35</v>
      </c>
      <c r="C44" s="10"/>
      <c r="D44" s="4"/>
      <c r="E44" s="3"/>
      <c r="F44" s="91" t="s">
        <v>36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2" t="s">
        <v>37</v>
      </c>
      <c r="D45" s="4"/>
      <c r="E45" s="3"/>
      <c r="F45" s="93" t="s">
        <v>38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77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6"/>
      <c r="D47" s="4"/>
      <c r="E47" s="77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4">
    <mergeCell ref="C2:G2"/>
    <mergeCell ref="C4:G4"/>
    <mergeCell ref="A5:G5"/>
    <mergeCell ref="A7:H7"/>
    <mergeCell ref="A8:H8"/>
    <mergeCell ref="A9:H9"/>
    <mergeCell ref="A10:G10"/>
    <mergeCell ref="A15:A17"/>
    <mergeCell ref="B15:B17"/>
    <mergeCell ref="C15:C17"/>
    <mergeCell ref="F15:F17"/>
    <mergeCell ref="G15:G17"/>
    <mergeCell ref="A20:B20"/>
    <mergeCell ref="A29:B29"/>
    <mergeCell ref="A30:B30"/>
    <mergeCell ref="B31:D31"/>
    <mergeCell ref="F31:G31"/>
    <mergeCell ref="B32:D32"/>
    <mergeCell ref="F32:G32"/>
    <mergeCell ref="A33:G33"/>
    <mergeCell ref="A34:G34"/>
    <mergeCell ref="B44:C44"/>
    <mergeCell ref="B45:C45"/>
    <mergeCell ref="B47:C47"/>
    <mergeCell ref="F45:G45"/>
    <mergeCell ref="E46:F46"/>
    <mergeCell ref="E47:G47"/>
    <mergeCell ref="A35:G35"/>
    <mergeCell ref="A36:G36"/>
    <mergeCell ref="F38:G38"/>
    <mergeCell ref="B39:C39"/>
    <mergeCell ref="F39:G39"/>
    <mergeCell ref="F42:G42"/>
    <mergeCell ref="F44:G44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