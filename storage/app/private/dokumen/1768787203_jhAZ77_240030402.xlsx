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ilx40YuW16QaYMwECeb8eet/+SxmwKK5N3Mv2vAP3jE="/>
    </ext>
  </extLst>
</workbook>
</file>

<file path=xl/sharedStrings.xml><?xml version="1.0" encoding="utf-8"?>
<sst xmlns="http://schemas.openxmlformats.org/spreadsheetml/2006/main" count="50" uniqueCount="40">
  <si>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</si>
  <si>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</si>
  <si>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</si>
  <si>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240030402</t>
  </si>
  <si>
    <t>Nama     : Frandy Christian Tarigan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</si>
  <si>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</si>
  <si>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</si>
  <si>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</si>
  <si>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</si>
  <si>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</si>
  <si>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</si>
  <si>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</si>
  <si>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</si>
  <si>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Semester I Ganjil 2024/2025 </t>
  </si>
  <si>
    <t xml:space="preserve">Lunas </t>
  </si>
  <si>
    <t>Genap II  2024/2025</t>
  </si>
  <si>
    <t>Ganjil III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</si>
  <si>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</si>
  <si>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</si>
  <si>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</si>
  <si>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</si>
  <si>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 xml:space="preserve">Sudah Mengambil almamater brusli </t>
  </si>
  <si>
    <t>DPP</t>
  </si>
  <si>
    <t>Tunggakan</t>
  </si>
  <si>
    <t>20-Mei-2025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</si>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</sst>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d-mmm-yyyy"/>
    <numFmt numFmtId="168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4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horizontal="center"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6" fillId="0" fontId="9" numFmtId="165" xfId="0" applyAlignment="1" applyBorder="1" applyFont="1" applyNumberFormat="1">
      <alignment horizontal="center" readingOrder="0" vertical="center"/>
    </xf>
    <xf borderId="6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7" fillId="0" fontId="6" numFmtId="0" xfId="0" applyBorder="1" applyFont="1"/>
    <xf borderId="6" fillId="0" fontId="9" numFmtId="167" xfId="0" applyAlignment="1" applyBorder="1" applyFont="1" applyNumberFormat="1">
      <alignment horizontal="center" readingOrder="0" vertical="center"/>
    </xf>
    <xf borderId="3" fillId="0" fontId="6" numFmtId="0" xfId="0" applyBorder="1" applyFont="1"/>
    <xf borderId="5" fillId="0" fontId="9" numFmtId="165" xfId="0" applyAlignment="1" applyBorder="1" applyFont="1" applyNumberFormat="1">
      <alignment horizontal="center" readingOrder="0" vertical="center"/>
    </xf>
    <xf borderId="5" fillId="3" fontId="9" numFmtId="0" xfId="0" applyAlignment="1" applyBorder="1" applyFont="1">
      <alignment readingOrder="0" vertical="center"/>
    </xf>
    <xf borderId="5" fillId="0" fontId="9" numFmtId="164" xfId="0" applyAlignment="1" applyBorder="1" applyFont="1" applyNumberFormat="1">
      <alignment readingOrder="0" vertical="center"/>
    </xf>
    <xf borderId="0" fillId="0" fontId="2" numFmtId="168" xfId="0" applyAlignment="1" applyFont="1" applyNumberFormat="1">
      <alignment vertical="center"/>
    </xf>
    <xf borderId="4" fillId="0" fontId="9" numFmtId="164" xfId="0" applyAlignment="1" applyBorder="1" applyFont="1" applyNumberFormat="1">
      <alignment readingOrder="0" vertical="center"/>
    </xf>
    <xf borderId="6" fillId="0" fontId="9" numFmtId="0" xfId="0" applyAlignment="1" applyBorder="1" applyFont="1">
      <alignment horizontal="center" readingOrder="0" vertical="center"/>
    </xf>
    <xf borderId="6" fillId="3" fontId="9" numFmtId="0" xfId="0" applyAlignment="1" applyBorder="1" applyFont="1">
      <alignment readingOrder="0" vertical="center"/>
    </xf>
    <xf borderId="6" fillId="0" fontId="9" numFmtId="164" xfId="0" applyAlignment="1" applyBorder="1" applyFont="1" applyNumberFormat="1">
      <alignment vertical="center"/>
    </xf>
    <xf borderId="6" fillId="0" fontId="9" numFmtId="0" xfId="0" applyAlignment="1" applyBorder="1" applyFont="1">
      <alignment horizontal="center" vertical="center"/>
    </xf>
    <xf borderId="8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6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6" fillId="3" fontId="2" numFmtId="164" xfId="0" applyAlignment="1" applyBorder="1" applyFont="1" applyNumberFormat="1">
      <alignment horizontal="center" vertical="center"/>
    </xf>
    <xf borderId="6" fillId="3" fontId="2" numFmtId="165" xfId="0" applyAlignment="1" applyBorder="1" applyFont="1" applyNumberFormat="1">
      <alignment horizontal="center" vertical="center"/>
    </xf>
    <xf borderId="4" fillId="3" fontId="9" numFmtId="0" xfId="0" applyAlignment="1" applyBorder="1" applyFont="1">
      <alignment vertical="center"/>
    </xf>
    <xf borderId="6" fillId="3" fontId="2" numFmtId="164" xfId="0" applyAlignment="1" applyBorder="1" applyFont="1" applyNumberFormat="1">
      <alignment horizontal="center" readingOrder="0" vertical="center"/>
    </xf>
    <xf borderId="6" fillId="3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7" fillId="3" fontId="9" numFmtId="0" xfId="0" applyAlignment="1" applyBorder="1" applyFont="1">
      <alignment horizontal="center" vertical="center"/>
    </xf>
    <xf borderId="9" fillId="3" fontId="9" numFmtId="0" xfId="0" applyAlignment="1" applyBorder="1" applyFont="1">
      <alignment shrinkToFit="0" vertical="center" wrapText="1"/>
    </xf>
    <xf borderId="5" fillId="3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vertical="center" wrapText="1"/>
    </xf>
    <xf borderId="9" fillId="0" fontId="6" numFmtId="0" xfId="0" applyBorder="1" applyFont="1"/>
    <xf borderId="4" fillId="3" fontId="2" numFmtId="167" xfId="0" applyAlignment="1" applyBorder="1" applyFont="1" applyNumberFormat="1">
      <alignment horizontal="center" readingOrder="0" vertical="center"/>
    </xf>
    <xf borderId="4" fillId="3" fontId="2" numFmtId="164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horizontal="center"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Alignment="1" applyBorder="1" applyFont="1">
      <alignment vertical="center"/>
    </xf>
    <xf borderId="8" fillId="2" fontId="10" numFmtId="0" xfId="0" applyAlignment="1" applyBorder="1" applyFont="1">
      <alignment horizontal="center" vertical="center"/>
    </xf>
    <xf borderId="2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8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9" fillId="4" fontId="10" numFmtId="164" xfId="0" applyAlignment="1" applyBorder="1" applyFont="1" applyNumberFormat="1">
      <alignment horizontal="center" vertical="center"/>
    </xf>
    <xf borderId="9" fillId="4" fontId="10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165" xfId="0" applyAlignment="1" applyBorder="1" applyFont="1" applyNumberFormat="1">
      <alignment vertical="center"/>
    </xf>
    <xf borderId="13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9.29"/>
    <col customWidth="1" min="4" max="4" width="16.86"/>
    <col customWidth="1" min="5" max="5" width="19.86"/>
    <col customWidth="1" min="6" max="6" width="19.0"/>
    <col customWidth="1" min="7" max="7" width="16.86"/>
    <col customWidth="1" min="8" max="8" width="36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>
        <v>45505.0</v>
      </c>
      <c r="E14" s="24">
        <v>2000000.0</v>
      </c>
      <c r="F14" s="22">
        <f>C14-E14-E15-E16</f>
        <v>0</v>
      </c>
      <c r="G14" s="25" t="s">
        <v>14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6"/>
      <c r="W14" s="26"/>
      <c r="X14" s="26"/>
      <c r="Y14" s="26"/>
      <c r="Z14" s="26"/>
    </row>
    <row r="15">
      <c r="A15" s="27"/>
      <c r="B15" s="27"/>
      <c r="C15" s="27"/>
      <c r="D15" s="28">
        <v>45670.0</v>
      </c>
      <c r="E15" s="24">
        <v>2000000.0</v>
      </c>
      <c r="F15" s="27"/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6"/>
      <c r="W15" s="26"/>
      <c r="X15" s="26"/>
      <c r="Y15" s="26"/>
      <c r="Z15" s="26"/>
    </row>
    <row r="16">
      <c r="A16" s="29"/>
      <c r="B16" s="29"/>
      <c r="C16" s="29"/>
      <c r="D16" s="30">
        <v>45702.0</v>
      </c>
      <c r="E16" s="24">
        <v>2000000.0</v>
      </c>
      <c r="F16" s="29"/>
      <c r="G16" s="2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6"/>
      <c r="W16" s="26"/>
      <c r="X16" s="26"/>
      <c r="Y16" s="26"/>
      <c r="Z16" s="26"/>
    </row>
    <row r="17">
      <c r="A17" s="25">
        <v>2.0</v>
      </c>
      <c r="B17" s="31" t="s">
        <v>15</v>
      </c>
      <c r="C17" s="32">
        <v>6000000.0</v>
      </c>
      <c r="D17" s="29"/>
      <c r="E17" s="24">
        <v>3000000.0</v>
      </c>
      <c r="F17" s="32">
        <f>C17-E17-E18-E19</f>
        <v>0</v>
      </c>
      <c r="G17" s="25" t="s">
        <v>14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6"/>
      <c r="W17" s="26"/>
      <c r="X17" s="26"/>
      <c r="Y17" s="26"/>
      <c r="Z17" s="26"/>
    </row>
    <row r="18">
      <c r="A18" s="29"/>
      <c r="B18" s="29"/>
      <c r="C18" s="29"/>
      <c r="D18" s="23">
        <v>45849.0</v>
      </c>
      <c r="E18" s="24">
        <v>2000000.0</v>
      </c>
      <c r="F18" s="29"/>
      <c r="G18" s="29"/>
      <c r="H18" s="2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5">
        <v>3.0</v>
      </c>
      <c r="B19" s="31" t="s">
        <v>16</v>
      </c>
      <c r="C19" s="32">
        <v>6000000.0</v>
      </c>
      <c r="D19" s="30">
        <v>45898.0</v>
      </c>
      <c r="E19" s="24">
        <v>1000000.0</v>
      </c>
      <c r="F19" s="22">
        <f>C19-E20-E21</f>
        <v>0</v>
      </c>
      <c r="G19" s="25" t="s">
        <v>14</v>
      </c>
      <c r="H19" s="2"/>
      <c r="I19" s="3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/>
      <c r="B20" s="29"/>
      <c r="C20" s="29"/>
      <c r="D20" s="29"/>
      <c r="E20" s="34">
        <v>4000000.0</v>
      </c>
      <c r="F20" s="29"/>
      <c r="G20" s="29"/>
      <c r="H20" s="2"/>
      <c r="I20" s="3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5"/>
      <c r="B21" s="36"/>
      <c r="C21" s="24"/>
      <c r="D21" s="23">
        <v>45929.0</v>
      </c>
      <c r="E21" s="24">
        <v>2000000.0</v>
      </c>
      <c r="F21" s="37"/>
      <c r="G21" s="38"/>
      <c r="H21" s="2"/>
      <c r="I21" s="3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9" t="s">
        <v>17</v>
      </c>
      <c r="B22" s="40"/>
      <c r="C22" s="41">
        <f>sum(C14:C19)</f>
        <v>18000000</v>
      </c>
      <c r="D22" s="41"/>
      <c r="E22" s="42">
        <f>SUM(E14:E21)</f>
        <v>18000000</v>
      </c>
      <c r="F22" s="42">
        <f>SUM(F14:F20)</f>
        <v>0</v>
      </c>
      <c r="G22" s="43"/>
      <c r="H22" s="44"/>
      <c r="I22" s="44"/>
      <c r="J22" s="44"/>
      <c r="K22" s="45"/>
      <c r="L22" s="46"/>
      <c r="M22" s="46"/>
      <c r="N22" s="4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7"/>
      <c r="B23" s="47"/>
      <c r="C23" s="3"/>
      <c r="D23" s="4"/>
      <c r="E23" s="3"/>
      <c r="F23" s="3"/>
      <c r="G23" s="2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8" t="s">
        <v>18</v>
      </c>
      <c r="B24" s="2"/>
      <c r="C24" s="3"/>
      <c r="D24" s="4"/>
      <c r="E24" s="3"/>
      <c r="F24" s="3"/>
      <c r="G24" s="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13"/>
      <c r="C25" s="14"/>
      <c r="D25" s="15"/>
      <c r="E25" s="14"/>
      <c r="F25" s="14"/>
      <c r="G25" s="13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 t="s">
        <v>7</v>
      </c>
      <c r="B26" s="17" t="s">
        <v>8</v>
      </c>
      <c r="C26" s="18" t="s">
        <v>9</v>
      </c>
      <c r="D26" s="19" t="s">
        <v>10</v>
      </c>
      <c r="E26" s="18" t="s">
        <v>11</v>
      </c>
      <c r="F26" s="18" t="s">
        <v>12</v>
      </c>
      <c r="G26" s="17" t="s">
        <v>8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9">
        <v>1.0</v>
      </c>
      <c r="B27" s="50" t="s">
        <v>19</v>
      </c>
      <c r="C27" s="51">
        <v>400000.0</v>
      </c>
      <c r="D27" s="52">
        <v>45505.0</v>
      </c>
      <c r="E27" s="51">
        <v>400000.0</v>
      </c>
      <c r="F27" s="51">
        <f t="shared" ref="F27:F28" si="1">C27-E27</f>
        <v>0</v>
      </c>
      <c r="G27" s="51" t="str">
        <f t="shared" ref="G27:G28" si="2">if(E27&gt;=C27,"Lunas","Tunggakan")</f>
        <v>Lunas</v>
      </c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9">
        <v>2.0</v>
      </c>
      <c r="B28" s="53" t="s">
        <v>20</v>
      </c>
      <c r="C28" s="54">
        <v>1500000.0</v>
      </c>
      <c r="D28" s="55">
        <v>45505.0</v>
      </c>
      <c r="E28" s="54">
        <v>1500000.0</v>
      </c>
      <c r="F28" s="51">
        <f t="shared" si="1"/>
        <v>0</v>
      </c>
      <c r="G28" s="51" t="str">
        <f t="shared" si="2"/>
        <v>Lunas</v>
      </c>
      <c r="H28" s="56" t="s">
        <v>21</v>
      </c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7">
        <v>3.0</v>
      </c>
      <c r="B29" s="58" t="s">
        <v>22</v>
      </c>
      <c r="C29" s="59">
        <v>9000000.0</v>
      </c>
      <c r="D29" s="55">
        <v>45505.0</v>
      </c>
      <c r="E29" s="54">
        <v>1000000.0</v>
      </c>
      <c r="F29" s="59">
        <f>C29-E29-E30-E31-E32</f>
        <v>1000000</v>
      </c>
      <c r="G29" s="59" t="s">
        <v>23</v>
      </c>
      <c r="H29" s="60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7"/>
      <c r="B30" s="61"/>
      <c r="C30" s="27"/>
      <c r="D30" s="62">
        <v>45670.0</v>
      </c>
      <c r="E30" s="63">
        <v>3000000.0</v>
      </c>
      <c r="F30" s="27"/>
      <c r="G30" s="27"/>
      <c r="H30" s="60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7"/>
      <c r="B31" s="61"/>
      <c r="C31" s="27"/>
      <c r="D31" s="64">
        <v>45757.0</v>
      </c>
      <c r="E31" s="65">
        <v>2000000.0</v>
      </c>
      <c r="F31" s="27"/>
      <c r="G31" s="27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9"/>
      <c r="B32" s="66"/>
      <c r="C32" s="29"/>
      <c r="D32" s="67" t="s">
        <v>24</v>
      </c>
      <c r="E32" s="65">
        <v>2000000.0</v>
      </c>
      <c r="F32" s="29"/>
      <c r="G32" s="29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9">
        <v>4.0</v>
      </c>
      <c r="B33" s="50" t="s">
        <v>25</v>
      </c>
      <c r="C33" s="68"/>
      <c r="D33" s="69"/>
      <c r="E33" s="68"/>
      <c r="F33" s="70"/>
      <c r="G33" s="71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2" t="s">
        <v>26</v>
      </c>
      <c r="B34" s="40"/>
      <c r="C34" s="73">
        <f>sum(C27:C33)</f>
        <v>10900000</v>
      </c>
      <c r="D34" s="74"/>
      <c r="E34" s="42">
        <f>sum(E27:E33)</f>
        <v>9900000</v>
      </c>
      <c r="F34" s="42">
        <f>SUM(F27:F33)</f>
        <v>1000000</v>
      </c>
      <c r="G34" s="43"/>
      <c r="H34" s="44"/>
      <c r="I34" s="44"/>
      <c r="J34" s="44"/>
      <c r="K34" s="45"/>
      <c r="L34" s="46"/>
      <c r="M34" s="46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75" t="s">
        <v>27</v>
      </c>
      <c r="B35" s="40"/>
      <c r="C35" s="76">
        <f>C22+C34</f>
        <v>28900000</v>
      </c>
      <c r="D35" s="77"/>
      <c r="E35" s="78">
        <f>E34+E22</f>
        <v>27900000</v>
      </c>
      <c r="F35" s="79">
        <f>F22+F34</f>
        <v>1000000</v>
      </c>
      <c r="G35" s="80"/>
      <c r="H35" s="44"/>
      <c r="I35" s="44"/>
      <c r="J35" s="44"/>
      <c r="K35" s="45"/>
      <c r="L35" s="46"/>
      <c r="M35" s="46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7"/>
      <c r="B36" s="26"/>
      <c r="E36" s="3"/>
      <c r="F36" s="81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2"/>
      <c r="B37" s="9"/>
      <c r="C37" s="10"/>
      <c r="D37" s="10"/>
      <c r="E37" s="83"/>
      <c r="F37" s="84"/>
      <c r="G37" s="10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5" t="s">
        <v>28</v>
      </c>
      <c r="G38" s="86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5" t="s">
        <v>29</v>
      </c>
      <c r="G39" s="86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5" t="s">
        <v>30</v>
      </c>
      <c r="G40" s="86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7" t="s">
        <v>31</v>
      </c>
      <c r="B41" s="10"/>
      <c r="C41" s="10"/>
      <c r="D41" s="10"/>
      <c r="E41" s="10"/>
      <c r="F41" s="10"/>
      <c r="G41" s="88"/>
      <c r="H41" s="89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7.5" customHeight="1">
      <c r="A42" s="2"/>
      <c r="B42" s="2"/>
      <c r="C42" s="3"/>
      <c r="D42" s="4"/>
      <c r="E42" s="3"/>
      <c r="F42" s="90" t="s">
        <v>32</v>
      </c>
      <c r="G42" s="91">
        <v>45930.0</v>
      </c>
      <c r="H42" s="9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5.25" customHeight="1">
      <c r="A43" s="2"/>
      <c r="B43" s="3"/>
      <c r="C43" s="3"/>
      <c r="D43" s="4"/>
      <c r="E43" s="3"/>
      <c r="F43" s="93" t="s">
        <v>33</v>
      </c>
      <c r="H43" s="3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3" t="s">
        <v>34</v>
      </c>
      <c r="D44" s="4"/>
      <c r="E44" s="3"/>
      <c r="F44" s="93" t="s">
        <v>35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3"/>
      <c r="F45" s="3"/>
      <c r="G45" s="89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81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3"/>
      <c r="C48" s="3"/>
      <c r="D48" s="4"/>
      <c r="E48" s="3"/>
      <c r="F48" s="3"/>
      <c r="G48" s="3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94" t="s">
        <v>36</v>
      </c>
      <c r="C49" s="10"/>
      <c r="D49" s="4"/>
      <c r="E49" s="3"/>
      <c r="F49" s="95" t="s">
        <v>37</v>
      </c>
      <c r="G49" s="10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96" t="s">
        <v>38</v>
      </c>
      <c r="D50" s="4"/>
      <c r="E50" s="3"/>
      <c r="F50" s="97" t="s">
        <v>39</v>
      </c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81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6"/>
      <c r="D52" s="4"/>
      <c r="E52" s="81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5"/>
      <c r="L972" s="6"/>
      <c r="M972" s="6"/>
      <c r="N972" s="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5"/>
      <c r="L973" s="6"/>
      <c r="M973" s="6"/>
      <c r="N973" s="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5"/>
      <c r="L974" s="6"/>
      <c r="M974" s="6"/>
      <c r="N974" s="6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4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4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3"/>
      <c r="D1008" s="4"/>
      <c r="E1008" s="3"/>
      <c r="F1008" s="3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mergeCells count="51">
    <mergeCell ref="B52:C52"/>
    <mergeCell ref="E52:G52"/>
    <mergeCell ref="B44:C44"/>
    <mergeCell ref="F44:G44"/>
    <mergeCell ref="B49:C49"/>
    <mergeCell ref="F49:G49"/>
    <mergeCell ref="B50:C50"/>
    <mergeCell ref="F50:G50"/>
    <mergeCell ref="E51:F51"/>
    <mergeCell ref="C2:G2"/>
    <mergeCell ref="C4:G4"/>
    <mergeCell ref="A5:G5"/>
    <mergeCell ref="A7:H7"/>
    <mergeCell ref="A8:H8"/>
    <mergeCell ref="A9:H9"/>
    <mergeCell ref="A10:G10"/>
    <mergeCell ref="F17:F18"/>
    <mergeCell ref="G17:G18"/>
    <mergeCell ref="F19:F20"/>
    <mergeCell ref="G19:G20"/>
    <mergeCell ref="A14:A16"/>
    <mergeCell ref="B14:B16"/>
    <mergeCell ref="C14:C16"/>
    <mergeCell ref="F14:F16"/>
    <mergeCell ref="G14:G16"/>
    <mergeCell ref="D16:D17"/>
    <mergeCell ref="A17:A18"/>
    <mergeCell ref="B17:B18"/>
    <mergeCell ref="C17:C18"/>
    <mergeCell ref="A19:A20"/>
    <mergeCell ref="B19:B20"/>
    <mergeCell ref="C19:C20"/>
    <mergeCell ref="D19:D20"/>
    <mergeCell ref="A22:B22"/>
    <mergeCell ref="A29:A32"/>
    <mergeCell ref="B29:B32"/>
    <mergeCell ref="C29:C32"/>
    <mergeCell ref="F29:F32"/>
    <mergeCell ref="G29:G32"/>
    <mergeCell ref="A34:B34"/>
    <mergeCell ref="A35:B35"/>
    <mergeCell ref="F37:G37"/>
    <mergeCell ref="F43:G43"/>
    <mergeCell ref="F47:G47"/>
    <mergeCell ref="B36:D36"/>
    <mergeCell ref="F36:G36"/>
    <mergeCell ref="B37:D37"/>
    <mergeCell ref="A38:G38"/>
    <mergeCell ref="A39:G39"/>
    <mergeCell ref="A40:G40"/>
    <mergeCell ref="A41:G4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