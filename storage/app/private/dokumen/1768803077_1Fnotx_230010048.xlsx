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73SsaXHfLaDKmFAPxJDgTvG09Ryt/52iyttGaeRiA4c="/>
    </ext>
  </extLst>
</workbook>
</file>

<file path=xl/sharedStrings.xml><?xml version="1.0" encoding="utf-8"?>
<sst xmlns="http://schemas.openxmlformats.org/spreadsheetml/2006/main" count="43" uniqueCount="35">
  <si>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</si>
  <si>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</si>
  <si>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</si>
  <si>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230050073</t>
  </si>
  <si>
    <t>Nama     : Melianti</t>
  </si>
  <si>
    <t>Prodi      : S1-BISNIS DIGITAL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</si>
  <si>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</si>
  <si>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</si>
  <si>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</si>
  <si>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</si>
  <si>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</si>
  <si>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</si>
  <si>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</si>
  <si>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BEASISWA 100% (sampai semester 8)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</si>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</sst>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8">
    <font>
      <sz val="11.0"/>
      <color theme="1"/>
      <name val="Calibri"/>
      <scheme val="minor"/>
    </font>
    <font>
      <b/>
      <sz val="12.0"/>
      <color theme="1"/>
      <name val="&quot;Times New Roman&quot;"/>
    </font>
    <font>
      <sz val="11.0"/>
      <color theme="1"/>
      <name val="Calibri"/>
    </font>
    <font>
      <b/>
      <sz val="29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/>
    <font>
      <sz val="15.0"/>
      <color rgb="FF000000"/>
      <name val="&quot;Times New Roman&quot;"/>
    </font>
    <font>
      <b/>
      <sz val="15.0"/>
      <color theme="1"/>
      <name val="&quot;Times New Roman&quot;"/>
    </font>
    <font>
      <sz val="14.0"/>
      <color theme="1"/>
      <name val="&quot;Times New Roman&quot;"/>
    </font>
    <font>
      <b/>
      <sz val="14.0"/>
      <color theme="1"/>
      <name val="&quot;Times New Roman&quot;"/>
    </font>
    <font>
      <sz val="16.0"/>
      <color rgb="FF000000"/>
      <name val="&quot;Times New Roman&quot;"/>
    </font>
    <font>
      <sz val="15.0"/>
      <color theme="1"/>
      <name val="Calibri"/>
    </font>
    <font>
      <sz val="12.0"/>
      <color theme="1"/>
      <name val="&quot;Times New Roman&quot;"/>
    </font>
    <font>
      <b/>
      <sz val="16.0"/>
      <color theme="1"/>
      <name val="&quot;Times New Roman&quot;"/>
    </font>
    <font>
      <b/>
      <sz val="16.0"/>
      <color theme="1"/>
      <name val="Calibri"/>
    </font>
    <font>
      <b/>
      <sz val="12.0"/>
      <color rgb="FF1F1F1F"/>
      <name val="&quot;Times New Roman&quot;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6" fillId="0" fontId="6" numFmtId="0" xfId="0" applyBorder="1" applyFont="1"/>
    <xf borderId="0" fillId="0" fontId="2" numFmtId="167" xfId="0" applyAlignment="1" applyFont="1" applyNumberFormat="1">
      <alignment vertical="bottom"/>
    </xf>
    <xf borderId="5" fillId="0" fontId="6" numFmtId="0" xfId="0" applyBorder="1" applyFont="1"/>
    <xf borderId="7" fillId="0" fontId="6" numFmtId="0" xfId="0" applyBorder="1" applyFont="1"/>
    <xf borderId="2" fillId="0" fontId="6" numFmtId="0" xfId="0" applyBorder="1" applyFont="1"/>
    <xf borderId="4" fillId="0" fontId="6" numFmtId="0" xfId="0" applyBorder="1" applyFont="1"/>
    <xf borderId="3" fillId="0" fontId="2" numFmtId="0" xfId="0" applyAlignment="1" applyBorder="1" applyFont="1">
      <alignment vertical="bottom"/>
    </xf>
    <xf borderId="4" fillId="3" fontId="2" numFmtId="0" xfId="0" applyAlignment="1" applyBorder="1" applyFill="1" applyFont="1">
      <alignment vertical="bottom"/>
    </xf>
    <xf borderId="4" fillId="0" fontId="2" numFmtId="164" xfId="0" applyAlignment="1" applyBorder="1" applyFont="1" applyNumberFormat="1">
      <alignment vertical="bottom"/>
    </xf>
    <xf borderId="4" fillId="0" fontId="2" numFmtId="165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7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2" numFmtId="164" xfId="0" applyAlignment="1" applyBorder="1" applyFont="1" applyNumberFormat="1">
      <alignment horizontal="center" vertical="bottom"/>
    </xf>
    <xf borderId="4" fillId="2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3" fillId="3" fontId="13" numFmtId="0" xfId="0" applyAlignment="1" applyBorder="1" applyFont="1">
      <alignment horizontal="center" vertical="bottom"/>
    </xf>
    <xf borderId="4" fillId="3" fontId="13" numFmtId="0" xfId="0" applyAlignment="1" applyBorder="1" applyFont="1">
      <alignment shrinkToFit="0" vertical="bottom" wrapText="1"/>
    </xf>
    <xf borderId="4" fillId="0" fontId="2" numFmtId="164" xfId="0" applyAlignment="1" applyBorder="1" applyFont="1" applyNumberFormat="1">
      <alignment horizontal="right" vertical="bottom"/>
    </xf>
    <xf borderId="4" fillId="0" fontId="2" numFmtId="165" xfId="0" applyAlignment="1" applyBorder="1" applyFont="1" applyNumberFormat="1">
      <alignment horizontal="right" readingOrder="0" vertical="bottom"/>
    </xf>
    <xf borderId="4" fillId="3" fontId="2" numFmtId="164" xfId="0" applyAlignment="1" applyBorder="1" applyFont="1" applyNumberFormat="1">
      <alignment horizontal="right" vertical="bottom"/>
    </xf>
    <xf borderId="4" fillId="3" fontId="13" numFmtId="0" xfId="0" applyAlignment="1" applyBorder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4" fillId="3" fontId="2" numFmtId="164" xfId="0" applyAlignment="1" applyBorder="1" applyFont="1" applyNumberFormat="1">
      <alignment vertical="bottom"/>
    </xf>
    <xf borderId="7" fillId="2" fontId="13" numFmtId="0" xfId="0" applyAlignment="1" applyBorder="1" applyFont="1">
      <alignment horizontal="center" vertical="bottom"/>
    </xf>
    <xf borderId="4" fillId="2" fontId="13" numFmtId="164" xfId="0" applyAlignment="1" applyBorder="1" applyFont="1" applyNumberFormat="1">
      <alignment horizontal="center" vertical="bottom"/>
    </xf>
    <xf borderId="7" fillId="4" fontId="14" numFmtId="0" xfId="0" applyAlignment="1" applyBorder="1" applyFill="1" applyFont="1">
      <alignment horizontal="center" vertical="bottom"/>
    </xf>
    <xf borderId="4" fillId="4" fontId="14" numFmtId="164" xfId="0" applyAlignment="1" applyBorder="1" applyFont="1" applyNumberFormat="1">
      <alignment horizontal="center" vertical="bottom"/>
    </xf>
    <xf borderId="6" fillId="4" fontId="15" numFmtId="164" xfId="0" applyAlignment="1" applyBorder="1" applyFont="1" applyNumberFormat="1">
      <alignment horizontal="center" vertical="bottom"/>
    </xf>
    <xf borderId="6" fillId="4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8" fillId="0" fontId="13" numFmtId="0" xfId="0" applyAlignment="1" applyBorder="1" applyFont="1">
      <alignment vertical="bottom"/>
    </xf>
    <xf borderId="9" fillId="0" fontId="6" numFmtId="0" xfId="0" applyBorder="1" applyFont="1"/>
    <xf borderId="10" fillId="0" fontId="13" numFmtId="165" xfId="0" applyAlignment="1" applyBorder="1" applyFont="1" applyNumberFormat="1">
      <alignment vertical="bottom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bottom"/>
    </xf>
    <xf borderId="0" fillId="3" fontId="16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1066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3.71"/>
    <col customWidth="1" min="3" max="3" width="17.14"/>
    <col customWidth="1" min="4" max="4" width="21.57"/>
    <col customWidth="1" min="5" max="7" width="17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6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13</v>
      </c>
      <c r="G15" s="22"/>
      <c r="H15" s="2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4"/>
      <c r="G16" s="22"/>
      <c r="H16" s="2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/>
      <c r="G17" s="22"/>
      <c r="H17" s="2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5"/>
      <c r="B18" s="26"/>
      <c r="C18" s="26"/>
      <c r="D18" s="26"/>
      <c r="E18" s="26"/>
      <c r="F18" s="26"/>
      <c r="G18" s="27"/>
      <c r="H18" s="2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8"/>
      <c r="B19" s="29"/>
      <c r="C19" s="30"/>
      <c r="D19" s="31"/>
      <c r="E19" s="30"/>
      <c r="F19" s="30"/>
      <c r="G19" s="32"/>
      <c r="H19" s="2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3" t="s">
        <v>14</v>
      </c>
      <c r="B20" s="26"/>
      <c r="C20" s="26"/>
      <c r="D20" s="27"/>
      <c r="E20" s="34">
        <f t="shared" ref="E20:F20" si="1">SUM(E15:E19)</f>
        <v>0</v>
      </c>
      <c r="F20" s="35">
        <f t="shared" si="1"/>
        <v>0</v>
      </c>
      <c r="G20" s="36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7"/>
      <c r="B21" s="37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8" t="s">
        <v>15</v>
      </c>
      <c r="B22" s="2"/>
      <c r="C22" s="3"/>
      <c r="D22" s="4"/>
      <c r="E22" s="3"/>
      <c r="F22" s="3"/>
      <c r="G22" s="2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/>
      <c r="B23" s="13"/>
      <c r="C23" s="14"/>
      <c r="D23" s="15"/>
      <c r="E23" s="14"/>
      <c r="F23" s="14"/>
      <c r="G23" s="13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6" t="s">
        <v>7</v>
      </c>
      <c r="B24" s="17" t="s">
        <v>8</v>
      </c>
      <c r="C24" s="18" t="s">
        <v>9</v>
      </c>
      <c r="D24" s="19" t="s">
        <v>10</v>
      </c>
      <c r="E24" s="18" t="s">
        <v>11</v>
      </c>
      <c r="F24" s="18" t="s">
        <v>12</v>
      </c>
      <c r="G24" s="17" t="s">
        <v>8</v>
      </c>
      <c r="H24" s="39"/>
      <c r="I24" s="39"/>
      <c r="J24" s="39"/>
      <c r="K24" s="40"/>
      <c r="L24" s="41"/>
      <c r="M24" s="41"/>
      <c r="N24" s="41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2">
        <v>1.0</v>
      </c>
      <c r="B25" s="43" t="s">
        <v>16</v>
      </c>
      <c r="C25" s="44">
        <v>300000.0</v>
      </c>
      <c r="D25" s="45">
        <v>45021.0</v>
      </c>
      <c r="E25" s="46">
        <v>300000.0</v>
      </c>
      <c r="F25" s="46">
        <f>C25-E25</f>
        <v>0</v>
      </c>
      <c r="G25" s="29" t="s">
        <v>17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2">
        <v>2.0</v>
      </c>
      <c r="B26" s="47" t="s">
        <v>18</v>
      </c>
      <c r="C26" s="44"/>
      <c r="D26" s="48"/>
      <c r="E26" s="44"/>
      <c r="F26" s="46"/>
      <c r="G26" s="29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2">
        <v>3.0</v>
      </c>
      <c r="B27" s="43" t="s">
        <v>19</v>
      </c>
      <c r="C27" s="44"/>
      <c r="D27" s="48"/>
      <c r="E27" s="44"/>
      <c r="F27" s="46"/>
      <c r="G27" s="29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2">
        <v>4.0</v>
      </c>
      <c r="B28" s="43" t="s">
        <v>20</v>
      </c>
      <c r="C28" s="30"/>
      <c r="D28" s="31"/>
      <c r="E28" s="30"/>
      <c r="F28" s="49"/>
      <c r="G28" s="29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0" t="s">
        <v>21</v>
      </c>
      <c r="B29" s="26"/>
      <c r="C29" s="26"/>
      <c r="D29" s="27"/>
      <c r="E29" s="51">
        <f>sum(E25:E28)</f>
        <v>300000</v>
      </c>
      <c r="F29" s="51">
        <f>SUM(F25:F28)</f>
        <v>0</v>
      </c>
      <c r="G29" s="36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2" t="s">
        <v>22</v>
      </c>
      <c r="B30" s="26"/>
      <c r="C30" s="26"/>
      <c r="D30" s="27"/>
      <c r="E30" s="53">
        <f>E29+E20</f>
        <v>300000</v>
      </c>
      <c r="F30" s="54">
        <f>F20+F29</f>
        <v>0</v>
      </c>
      <c r="G30" s="55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7"/>
      <c r="E31" s="3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6"/>
      <c r="B32" s="9"/>
      <c r="C32" s="10"/>
      <c r="D32" s="10"/>
      <c r="E32" s="57"/>
      <c r="F32" s="9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8" t="s">
        <v>23</v>
      </c>
      <c r="G33" s="59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8" t="s">
        <v>24</v>
      </c>
      <c r="G34" s="59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8" t="s">
        <v>25</v>
      </c>
      <c r="G35" s="59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0" t="s">
        <v>26</v>
      </c>
      <c r="B36" s="10"/>
      <c r="C36" s="10"/>
      <c r="D36" s="10"/>
      <c r="E36" s="10"/>
      <c r="F36" s="10"/>
      <c r="G36" s="61"/>
      <c r="H36" s="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3"/>
      <c r="D37" s="4"/>
      <c r="E37" s="3"/>
      <c r="F37" s="62" t="s">
        <v>27</v>
      </c>
      <c r="G37" s="63">
        <v>45306.0</v>
      </c>
      <c r="H37" s="64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2"/>
      <c r="B38" s="3"/>
      <c r="C38" s="3"/>
      <c r="D38" s="4"/>
      <c r="E38" s="3"/>
      <c r="F38" s="65" t="s">
        <v>28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5" t="s">
        <v>29</v>
      </c>
      <c r="D39" s="4"/>
      <c r="E39" s="3"/>
      <c r="F39" s="65" t="s">
        <v>30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6" t="s">
        <v>31</v>
      </c>
      <c r="C44" s="10"/>
      <c r="D44" s="4"/>
      <c r="E44" s="3"/>
      <c r="F44" s="66" t="s">
        <v>32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7" t="s">
        <v>33</v>
      </c>
      <c r="D45" s="4"/>
      <c r="E45" s="3"/>
      <c r="F45" s="68" t="s">
        <v>34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D47" s="4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0">
    <mergeCell ref="C2:G2"/>
    <mergeCell ref="C5:G5"/>
    <mergeCell ref="A6:G6"/>
    <mergeCell ref="A8:H8"/>
    <mergeCell ref="A9:H9"/>
    <mergeCell ref="A10:H10"/>
    <mergeCell ref="A11:G11"/>
    <mergeCell ref="A15:G18"/>
    <mergeCell ref="A20:D20"/>
    <mergeCell ref="A29:D29"/>
    <mergeCell ref="A30:D30"/>
    <mergeCell ref="B31:D31"/>
    <mergeCell ref="F31:G31"/>
    <mergeCell ref="F32:G32"/>
    <mergeCell ref="B32:D32"/>
    <mergeCell ref="A33:G33"/>
    <mergeCell ref="A34:G34"/>
    <mergeCell ref="A35:G35"/>
    <mergeCell ref="A36:G36"/>
    <mergeCell ref="F38:G38"/>
    <mergeCell ref="B39:C39"/>
    <mergeCell ref="B47:C47"/>
    <mergeCell ref="E47:G47"/>
    <mergeCell ref="F39:G39"/>
    <mergeCell ref="F42:G42"/>
    <mergeCell ref="B44:C44"/>
    <mergeCell ref="F44:G44"/>
    <mergeCell ref="B45:C45"/>
    <mergeCell ref="F45:G45"/>
    <mergeCell ref="E46:F4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