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XkA9XTzRNXec3WbeB9A36jDun46hmo5bdvmey4ID7fk="/>
    </ext>
  </extLst>
</workbook>
</file>

<file path=xl/sharedStrings.xml><?xml version="1.0" encoding="utf-8"?>
<sst xmlns="http://schemas.openxmlformats.org/spreadsheetml/2006/main" count="50" uniqueCount="42">
  <si>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</si>
  <si>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</si>
  <si>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</si>
  <si>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240010109</t>
  </si>
  <si>
    <t>Nama     : Alvian Arya Saputra</t>
  </si>
  <si>
    <t>Prodi      : S1- SISTEM KOMPUTER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</si>
  <si>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</si>
  <si>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</si>
  <si>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</si>
  <si>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</si>
  <si>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</si>
  <si>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</si>
  <si>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</si>
  <si>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Semester I </t>
  </si>
  <si>
    <t xml:space="preserve">Semester II </t>
  </si>
  <si>
    <t xml:space="preserve">Semester III </t>
  </si>
  <si>
    <t>Semester IV</t>
  </si>
  <si>
    <t>Semester V</t>
  </si>
  <si>
    <t xml:space="preserve">Semester VI </t>
  </si>
  <si>
    <t>Semester VII</t>
  </si>
  <si>
    <t xml:space="preserve">Semester VIII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</si>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</sst>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readingOrder="0"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5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vertical="center"/>
    </xf>
    <xf borderId="0" fillId="0" fontId="2" numFmtId="167" xfId="0" applyAlignment="1" applyFont="1" applyNumberForma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0" xfId="0" applyAlignment="1" applyBorder="1" applyFont="1">
      <alignment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3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4" fillId="0" fontId="9" numFmtId="164" xfId="0" applyAlignment="1" applyBorder="1" applyFont="1" applyNumberFormat="1">
      <alignment vertical="center"/>
    </xf>
    <xf borderId="4" fillId="3" fontId="9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8" fillId="0" fontId="6" numFmtId="0" xfId="0" applyBorder="1" applyFont="1"/>
    <xf borderId="5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9" fillId="4" fontId="10" numFmtId="164" xfId="0" applyAlignment="1" applyBorder="1" applyFont="1" applyNumberFormat="1">
      <alignment horizontal="center" vertical="center"/>
    </xf>
    <xf borderId="9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>
        <f>6*3</f>
        <v>18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/>
      <c r="E14" s="22">
        <v>0.0</v>
      </c>
      <c r="F14" s="22">
        <f>C14-E14</f>
        <v>6000000</v>
      </c>
      <c r="G14" s="24" t="str">
        <f t="shared" ref="G14:G21" si="1">if(E14&gt;=C14,"Lunas","Tunggakan")</f>
        <v>Tunggakan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</row>
    <row r="15">
      <c r="A15" s="27">
        <v>2.0</v>
      </c>
      <c r="B15" s="21" t="s">
        <v>14</v>
      </c>
      <c r="C15" s="28">
        <v>6000000.0</v>
      </c>
      <c r="D15" s="23"/>
      <c r="E15" s="28">
        <v>0.0</v>
      </c>
      <c r="F15" s="28">
        <v>6000000.0</v>
      </c>
      <c r="G15" s="24" t="str">
        <f t="shared" si="1"/>
        <v>Tunggakan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</row>
    <row r="16">
      <c r="A16" s="27">
        <v>3.0</v>
      </c>
      <c r="B16" s="29" t="s">
        <v>15</v>
      </c>
      <c r="C16" s="28">
        <v>6000000.0</v>
      </c>
      <c r="D16" s="23"/>
      <c r="E16" s="28">
        <v>0.0</v>
      </c>
      <c r="F16" s="28">
        <v>6000000.0</v>
      </c>
      <c r="G16" s="24" t="str">
        <f t="shared" si="1"/>
        <v>Tunggakan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</row>
    <row r="17">
      <c r="A17" s="27">
        <v>4.0</v>
      </c>
      <c r="B17" s="29" t="s">
        <v>16</v>
      </c>
      <c r="C17" s="28">
        <v>6000000.0</v>
      </c>
      <c r="D17" s="23"/>
      <c r="E17" s="28">
        <v>0.0</v>
      </c>
      <c r="F17" s="28">
        <v>6000000.0</v>
      </c>
      <c r="G17" s="24" t="str">
        <f t="shared" si="1"/>
        <v>Tunggakan</v>
      </c>
      <c r="H17" s="25"/>
      <c r="I17" s="30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1">
        <v>5.0</v>
      </c>
      <c r="B18" s="32" t="s">
        <v>17</v>
      </c>
      <c r="C18" s="28">
        <v>6000000.0</v>
      </c>
      <c r="D18" s="33"/>
      <c r="E18" s="28">
        <v>0.0</v>
      </c>
      <c r="F18" s="28">
        <v>6000000.0</v>
      </c>
      <c r="G18" s="24" t="str">
        <f t="shared" si="1"/>
        <v>Tunggakan</v>
      </c>
      <c r="H18" s="25"/>
      <c r="I18" s="30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1">
        <v>6.0</v>
      </c>
      <c r="B19" s="32" t="s">
        <v>18</v>
      </c>
      <c r="C19" s="28">
        <v>6000000.0</v>
      </c>
      <c r="D19" s="33"/>
      <c r="E19" s="28">
        <v>0.0</v>
      </c>
      <c r="F19" s="28">
        <v>6000000.0</v>
      </c>
      <c r="G19" s="24" t="str">
        <f t="shared" si="1"/>
        <v>Tunggakan</v>
      </c>
      <c r="H19" s="25"/>
      <c r="I19" s="30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31">
        <v>7.0</v>
      </c>
      <c r="B20" s="32" t="s">
        <v>19</v>
      </c>
      <c r="C20" s="28">
        <v>6000000.0</v>
      </c>
      <c r="D20" s="33"/>
      <c r="E20" s="28">
        <v>0.0</v>
      </c>
      <c r="F20" s="28">
        <v>6000000.0</v>
      </c>
      <c r="G20" s="24" t="str">
        <f t="shared" si="1"/>
        <v>Tunggakan</v>
      </c>
      <c r="H20" s="25"/>
      <c r="I20" s="30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34">
        <v>8.0</v>
      </c>
      <c r="B21" s="35" t="s">
        <v>20</v>
      </c>
      <c r="C21" s="28">
        <v>6000000.0</v>
      </c>
      <c r="D21" s="36"/>
      <c r="E21" s="28">
        <v>0.0</v>
      </c>
      <c r="F21" s="28">
        <v>6000000.0</v>
      </c>
      <c r="G21" s="24" t="str">
        <f t="shared" si="1"/>
        <v>Tunggakan</v>
      </c>
      <c r="H21" s="2"/>
      <c r="I21" s="3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8" t="s">
        <v>21</v>
      </c>
      <c r="B22" s="39"/>
      <c r="C22" s="40">
        <f>sum(C14:C21)</f>
        <v>48000000</v>
      </c>
      <c r="D22" s="40"/>
      <c r="E22" s="41">
        <f t="shared" ref="E22:F22" si="2">SUM(E14:E21)</f>
        <v>0</v>
      </c>
      <c r="F22" s="41">
        <f t="shared" si="2"/>
        <v>48000000</v>
      </c>
      <c r="G22" s="42"/>
      <c r="H22" s="43"/>
      <c r="I22" s="43"/>
      <c r="J22" s="43"/>
      <c r="K22" s="44"/>
      <c r="L22" s="45"/>
      <c r="M22" s="45"/>
      <c r="N22" s="45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6"/>
      <c r="B23" s="46"/>
      <c r="C23" s="3"/>
      <c r="D23" s="4"/>
      <c r="E23" s="3"/>
      <c r="F23" s="3"/>
      <c r="G23" s="2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7" t="s">
        <v>22</v>
      </c>
      <c r="B24" s="2"/>
      <c r="C24" s="3"/>
      <c r="D24" s="4"/>
      <c r="E24" s="3"/>
      <c r="F24" s="3"/>
      <c r="G24" s="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13"/>
      <c r="C25" s="14"/>
      <c r="D25" s="15"/>
      <c r="E25" s="14"/>
      <c r="F25" s="14"/>
      <c r="G25" s="13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 t="s">
        <v>7</v>
      </c>
      <c r="B26" s="17" t="s">
        <v>8</v>
      </c>
      <c r="C26" s="18" t="s">
        <v>9</v>
      </c>
      <c r="D26" s="19" t="s">
        <v>10</v>
      </c>
      <c r="E26" s="18" t="s">
        <v>11</v>
      </c>
      <c r="F26" s="18" t="s">
        <v>12</v>
      </c>
      <c r="G26" s="17" t="s">
        <v>8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8">
        <v>1.0</v>
      </c>
      <c r="B27" s="49" t="s">
        <v>23</v>
      </c>
      <c r="C27" s="50">
        <v>400000.0</v>
      </c>
      <c r="D27" s="51">
        <v>45504.0</v>
      </c>
      <c r="E27" s="50">
        <v>400000.0</v>
      </c>
      <c r="F27" s="50">
        <f t="shared" ref="F27:F29" si="3">C27-E27</f>
        <v>0</v>
      </c>
      <c r="G27" s="50" t="str">
        <f t="shared" ref="G27:G28" si="4">if(E27&gt;=C27,"Lunas","Tunggakan")</f>
        <v>Lunas</v>
      </c>
      <c r="H27" s="25"/>
      <c r="I27" s="25"/>
      <c r="J27" s="25"/>
      <c r="K27" s="52"/>
      <c r="L27" s="53"/>
      <c r="M27" s="53"/>
      <c r="N27" s="53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8">
        <v>2.0</v>
      </c>
      <c r="B28" s="54" t="s">
        <v>24</v>
      </c>
      <c r="C28" s="50">
        <v>1750000.0</v>
      </c>
      <c r="D28" s="51">
        <v>45504.0</v>
      </c>
      <c r="E28" s="55">
        <v>1750000.0</v>
      </c>
      <c r="F28" s="50">
        <f t="shared" si="3"/>
        <v>0</v>
      </c>
      <c r="G28" s="50" t="str">
        <f t="shared" si="4"/>
        <v>Lunas</v>
      </c>
      <c r="H28" s="25"/>
      <c r="I28" s="25"/>
      <c r="J28" s="25"/>
      <c r="K28" s="52"/>
      <c r="L28" s="53"/>
      <c r="M28" s="53"/>
      <c r="N28" s="53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48">
        <v>3.0</v>
      </c>
      <c r="B29" s="49" t="s">
        <v>25</v>
      </c>
      <c r="C29" s="50">
        <v>9000000.0</v>
      </c>
      <c r="D29" s="56"/>
      <c r="E29" s="50">
        <v>0.0</v>
      </c>
      <c r="F29" s="50">
        <f t="shared" si="3"/>
        <v>9000000</v>
      </c>
      <c r="G29" s="50" t="s">
        <v>26</v>
      </c>
      <c r="H29" s="57"/>
      <c r="I29" s="25"/>
      <c r="J29" s="25"/>
      <c r="K29" s="52"/>
      <c r="L29" s="53"/>
      <c r="M29" s="53"/>
      <c r="N29" s="53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48">
        <v>4.0</v>
      </c>
      <c r="B30" s="49" t="s">
        <v>27</v>
      </c>
      <c r="C30" s="58"/>
      <c r="D30" s="33"/>
      <c r="E30" s="58"/>
      <c r="F30" s="59"/>
      <c r="G30" s="54"/>
      <c r="H30" s="25"/>
      <c r="I30" s="25"/>
      <c r="J30" s="25"/>
      <c r="K30" s="52"/>
      <c r="L30" s="53"/>
      <c r="M30" s="53"/>
      <c r="N30" s="53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60" t="s">
        <v>28</v>
      </c>
      <c r="B31" s="61"/>
      <c r="C31" s="40">
        <f>sum(C27:C30)</f>
        <v>11150000</v>
      </c>
      <c r="D31" s="62"/>
      <c r="E31" s="41">
        <f>sum(E27:E30)</f>
        <v>2150000</v>
      </c>
      <c r="F31" s="40">
        <f>SUM(F27:F30)</f>
        <v>9000000</v>
      </c>
      <c r="G31" s="42"/>
      <c r="H31" s="43"/>
      <c r="I31" s="43"/>
      <c r="J31" s="43"/>
      <c r="K31" s="44"/>
      <c r="L31" s="45"/>
      <c r="M31" s="45"/>
      <c r="N31" s="45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63" t="s">
        <v>29</v>
      </c>
      <c r="B32" s="39"/>
      <c r="C32" s="64">
        <f>C22+C31</f>
        <v>59150000</v>
      </c>
      <c r="D32" s="65"/>
      <c r="E32" s="66">
        <f>E31+E22</f>
        <v>2150000</v>
      </c>
      <c r="F32" s="67">
        <f>F22+F31</f>
        <v>57000000</v>
      </c>
      <c r="G32" s="68"/>
      <c r="H32" s="43"/>
      <c r="I32" s="43"/>
      <c r="J32" s="43"/>
      <c r="K32" s="44"/>
      <c r="L32" s="45"/>
      <c r="M32" s="45"/>
      <c r="N32" s="45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6"/>
      <c r="B33" s="69"/>
      <c r="E33" s="3"/>
      <c r="F33" s="7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1"/>
      <c r="B34" s="9"/>
      <c r="C34" s="10"/>
      <c r="D34" s="10"/>
      <c r="E34" s="72"/>
      <c r="F34" s="73"/>
      <c r="G34" s="1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30</v>
      </c>
      <c r="G35" s="75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4" t="s">
        <v>31</v>
      </c>
      <c r="G36" s="75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4" t="s">
        <v>32</v>
      </c>
      <c r="G37" s="75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6" t="s">
        <v>33</v>
      </c>
      <c r="B38" s="10"/>
      <c r="C38" s="10"/>
      <c r="D38" s="10"/>
      <c r="E38" s="10"/>
      <c r="F38" s="10"/>
      <c r="G38" s="77"/>
      <c r="H38" s="4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3"/>
      <c r="D39" s="4"/>
      <c r="E39" s="3"/>
      <c r="F39" s="78" t="s">
        <v>34</v>
      </c>
      <c r="G39" s="79">
        <v>45897.0</v>
      </c>
      <c r="H39" s="80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5.25" customHeight="1">
      <c r="A40" s="2"/>
      <c r="B40" s="3"/>
      <c r="C40" s="3"/>
      <c r="D40" s="4"/>
      <c r="E40" s="3"/>
      <c r="F40" s="81" t="s">
        <v>35</v>
      </c>
      <c r="H40" s="3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1" t="s">
        <v>36</v>
      </c>
      <c r="D41" s="4"/>
      <c r="E41" s="3"/>
      <c r="F41" s="81" t="s">
        <v>37</v>
      </c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4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3"/>
      <c r="G43" s="2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7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3"/>
      <c r="C45" s="3"/>
      <c r="D45" s="4"/>
      <c r="E45" s="3"/>
      <c r="F45" s="3"/>
      <c r="G45" s="3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2" t="s">
        <v>38</v>
      </c>
      <c r="C46" s="10"/>
      <c r="D46" s="4"/>
      <c r="E46" s="3"/>
      <c r="F46" s="83" t="s">
        <v>39</v>
      </c>
      <c r="G46" s="10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4" t="s">
        <v>40</v>
      </c>
      <c r="D47" s="4"/>
      <c r="E47" s="3"/>
      <c r="F47" s="85" t="s">
        <v>41</v>
      </c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70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9"/>
      <c r="D49" s="4"/>
      <c r="E49" s="70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