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quRu1/A+ZEbg5pmkjEdsfCGPP6vMFA/grtQ9GFWXdl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======
ID#AAABIkKEUNw
MBC Consulting    (2024-03-05 06:32:04)
acc dari surat pak rektor pembayaran per semester 5 jt sampai semester 8 jika lewat dari semester 8 dikenakan biaya 6jt/semester</t>
      </text>
    </comment>
  </commentList>
  <extLst>
    <ext uri="GoogleSheetsCustomDataVersion2">
      <go:sheetsCustomData xmlns:go="http://customooxmlschemas.google.com/" r:id="rId1" roundtripDataSignature="AMtx7mj8RsRhP1pZT1lcinbAUHLE8TLOyg=="/>
    </ext>
  </extLst>
</comments>
</file>

<file path=xl/sharedStrings.xml><?xml version="1.0" encoding="utf-8"?>
<sst xmlns="http://schemas.openxmlformats.org/spreadsheetml/2006/main" count="46" uniqueCount="38">
  <si>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</si>
  <si>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</si>
  <si>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</si>
  <si>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220050292</t>
  </si>
  <si>
    <t>Nama     : Kadek Erawati</t>
  </si>
  <si>
    <t>Prodi      : S1-BISNIS DIGITAL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</si>
  <si>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</si>
  <si>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</si>
  <si>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</si>
  <si>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</si>
  <si>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</si>
  <si>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</si>
  <si>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</si>
  <si>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Genap 2023/2024 (IV)</t>
  </si>
  <si>
    <t>Ganjil 2024/2025 (V)</t>
  </si>
  <si>
    <t xml:space="preserve">Genap 2024/2025 (VI) </t>
  </si>
  <si>
    <t>Ganjil 2025/2026 (VII)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</si>
  <si>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</si>
  <si>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</si>
  <si>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</si>
  <si>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 xml:space="preserve">Pindahan Dari Reguler 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</si>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</sst>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6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1" fillId="0" fontId="5" numFmtId="0" xfId="0" applyBorder="1" applyFont="1"/>
    <xf borderId="1" fillId="0" fontId="6" numFmtId="0" xfId="0" applyBorder="1" applyFont="1"/>
    <xf borderId="0" fillId="0" fontId="4" numFmtId="0" xfId="0" applyAlignment="1" applyFont="1">
      <alignment readingOrder="0" vertical="bottom"/>
    </xf>
    <xf borderId="2" fillId="0" fontId="7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5" fillId="0" fontId="9" numFmtId="0" xfId="0" applyAlignment="1" applyBorder="1" applyFont="1">
      <alignment horizontal="center" vertical="bottom"/>
    </xf>
    <xf borderId="5" fillId="3" fontId="9" numFmtId="0" xfId="0" applyAlignment="1" applyBorder="1" applyFill="1" applyFont="1">
      <alignment readingOrder="0" shrinkToFit="0" vertical="bottom" wrapText="1"/>
    </xf>
    <xf borderId="5" fillId="0" fontId="9" numFmtId="164" xfId="0" applyAlignment="1" applyBorder="1" applyFont="1" applyNumberFormat="1">
      <alignment readingOrder="0" vertical="bottom"/>
    </xf>
    <xf borderId="5" fillId="0" fontId="9" numFmtId="165" xfId="0" applyAlignment="1" applyBorder="1" applyFont="1" applyNumberFormat="1">
      <alignment vertical="bottom"/>
    </xf>
    <xf borderId="5" fillId="0" fontId="9" numFmtId="164" xfId="0" applyAlignment="1" applyBorder="1" applyFont="1" applyNumberFormat="1">
      <alignment vertical="bottom"/>
    </xf>
    <xf borderId="5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Font="1"/>
    <xf borderId="5" fillId="0" fontId="9" numFmtId="0" xfId="0" applyAlignment="1" applyBorder="1" applyFont="1">
      <alignment horizontal="center" readingOrder="0" vertical="bottom"/>
    </xf>
    <xf borderId="5" fillId="3" fontId="9" numFmtId="0" xfId="0" applyAlignment="1" applyBorder="1" applyFont="1">
      <alignment readingOrder="0" vertical="bottom"/>
    </xf>
    <xf borderId="0" fillId="0" fontId="9" numFmtId="167" xfId="0" applyAlignment="1" applyFont="1" applyNumberFormat="1">
      <alignment vertical="bottom"/>
    </xf>
    <xf borderId="3" fillId="0" fontId="9" numFmtId="0" xfId="0" applyAlignment="1" applyBorder="1" applyFont="1">
      <alignment horizontal="center" vertical="bottom"/>
    </xf>
    <xf borderId="4" fillId="3" fontId="9" numFmtId="0" xfId="0" applyAlignment="1" applyBorder="1" applyFont="1">
      <alignment vertical="bottom"/>
    </xf>
    <xf borderId="4" fillId="0" fontId="9" numFmtId="164" xfId="0" applyAlignment="1" applyBorder="1" applyFont="1" applyNumberFormat="1">
      <alignment vertical="bottom"/>
    </xf>
    <xf borderId="4" fillId="0" fontId="9" numFmtId="165" xfId="0" applyAlignment="1" applyBorder="1" applyFont="1" applyNumberFormat="1">
      <alignment vertical="bottom"/>
    </xf>
    <xf borderId="4" fillId="0" fontId="9" numFmtId="0" xfId="0" applyAlignment="1" applyBorder="1" applyFont="1">
      <alignment vertical="bottom"/>
    </xf>
    <xf borderId="6" fillId="2" fontId="10" numFmtId="164" xfId="0" applyAlignment="1" applyBorder="1" applyFont="1" applyNumberFormat="1">
      <alignment horizontal="center" vertical="bottom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bottom"/>
    </xf>
    <xf borderId="4" fillId="2" fontId="10" numFmtId="164" xfId="0" applyAlignment="1" applyBorder="1" applyFont="1" applyNumberFormat="1">
      <alignment horizontal="center" vertical="bottom"/>
    </xf>
    <xf borderId="4" fillId="2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166" xfId="0" applyAlignment="1" applyFont="1" applyNumberFormat="1">
      <alignment vertical="bottom"/>
    </xf>
    <xf borderId="0" fillId="0" fontId="10" numFmtId="3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11" numFmtId="0" xfId="0" applyAlignment="1" applyFont="1">
      <alignment shrinkToFit="0" vertical="bottom" wrapText="0"/>
    </xf>
    <xf borderId="3" fillId="2" fontId="8" numFmtId="0" xfId="0" applyAlignment="1" applyBorder="1" applyFont="1">
      <alignment horizontal="center" shrinkToFit="0" wrapText="1"/>
    </xf>
    <xf borderId="4" fillId="2" fontId="8" numFmtId="0" xfId="0" applyAlignment="1" applyBorder="1" applyFont="1">
      <alignment horizontal="center" shrinkToFit="0" wrapText="1"/>
    </xf>
    <xf borderId="4" fillId="2" fontId="8" numFmtId="164" xfId="0" applyAlignment="1" applyBorder="1" applyFont="1" applyNumberFormat="1">
      <alignment horizontal="center" shrinkToFit="0" wrapText="1"/>
    </xf>
    <xf borderId="4" fillId="2" fontId="8" numFmtId="165" xfId="0" applyAlignment="1" applyBorder="1" applyFont="1" applyNumberFormat="1">
      <alignment horizontal="center" shrinkToFit="0" wrapText="1"/>
    </xf>
    <xf borderId="0" fillId="0" fontId="2" numFmtId="0" xfId="0" applyFont="1"/>
    <xf borderId="0" fillId="0" fontId="2" numFmtId="166" xfId="0" applyFont="1" applyNumberFormat="1"/>
    <xf borderId="0" fillId="0" fontId="2" numFmtId="3" xfId="0" applyFont="1" applyNumberFormat="1"/>
    <xf borderId="3" fillId="3" fontId="9" numFmtId="0" xfId="0" applyAlignment="1" applyBorder="1" applyFont="1">
      <alignment horizontal="center" vertical="bottom"/>
    </xf>
    <xf borderId="4" fillId="3" fontId="9" numFmtId="0" xfId="0" applyAlignment="1" applyBorder="1" applyFont="1">
      <alignment shrinkToFit="0" vertical="bottom" wrapText="1"/>
    </xf>
    <xf borderId="7" fillId="3" fontId="1" numFmtId="164" xfId="0" applyAlignment="1" applyBorder="1" applyFont="1" applyNumberForma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0" fillId="0" fontId="9" numFmtId="166" xfId="0" applyAlignment="1" applyFont="1" applyNumberFormat="1">
      <alignment vertical="bottom"/>
    </xf>
    <xf borderId="0" fillId="0" fontId="9" numFmtId="3" xfId="0" applyAlignment="1" applyFont="1" applyNumberFormat="1">
      <alignment vertical="bottom"/>
    </xf>
    <xf borderId="10" fillId="0" fontId="6" numFmtId="0" xfId="0" applyBorder="1" applyFont="1"/>
    <xf borderId="11" fillId="0" fontId="6" numFmtId="0" xfId="0" applyBorder="1" applyFont="1"/>
    <xf borderId="6" fillId="0" fontId="6" numFmtId="0" xfId="0" applyBorder="1" applyFont="1"/>
    <xf borderId="4" fillId="0" fontId="6" numFmtId="0" xfId="0" applyBorder="1" applyFont="1"/>
    <xf borderId="4" fillId="3" fontId="9" numFmtId="164" xfId="0" applyAlignment="1" applyBorder="1" applyFont="1" applyNumberFormat="1">
      <alignment vertical="bottom"/>
    </xf>
    <xf borderId="6" fillId="2" fontId="10" numFmtId="0" xfId="0" applyAlignment="1" applyBorder="1" applyFont="1">
      <alignment horizontal="center" vertical="bottom"/>
    </xf>
    <xf borderId="4" fillId="2" fontId="10" numFmtId="0" xfId="0" applyAlignment="1" applyBorder="1" applyFont="1">
      <alignment horizontal="center" vertical="bottom"/>
    </xf>
    <xf borderId="6" fillId="4" fontId="10" numFmtId="0" xfId="0" applyAlignment="1" applyBorder="1" applyFill="1" applyFont="1">
      <alignment horizontal="center" vertical="bottom"/>
    </xf>
    <xf borderId="2" fillId="4" fontId="10" numFmtId="164" xfId="0" applyAlignment="1" applyBorder="1" applyFont="1" applyNumberFormat="1">
      <alignment horizontal="center" vertical="bottom"/>
    </xf>
    <xf borderId="4" fillId="4" fontId="10" numFmtId="0" xfId="0" applyAlignment="1" applyBorder="1" applyFont="1">
      <alignment horizontal="center" vertical="bottom"/>
    </xf>
    <xf borderId="4" fillId="4" fontId="10" numFmtId="164" xfId="0" applyAlignment="1" applyBorder="1" applyFont="1" applyNumberFormat="1">
      <alignment horizontal="center" vertical="bottom"/>
    </xf>
    <xf borderId="11" fillId="4" fontId="10" numFmtId="164" xfId="0" applyAlignment="1" applyBorder="1" applyFont="1" applyNumberFormat="1">
      <alignment horizontal="center" vertical="bottom"/>
    </xf>
    <xf borderId="11" fillId="4" fontId="10" numFmtId="0" xfId="0" applyAlignment="1" applyBorder="1" applyFont="1">
      <alignment vertical="bottom"/>
    </xf>
    <xf borderId="0" fillId="0" fontId="5" numFmtId="0" xfId="0" applyFont="1"/>
    <xf borderId="0" fillId="0" fontId="5" numFmtId="164" xfId="0" applyFont="1" applyNumberFormat="1"/>
    <xf borderId="1" fillId="3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5" numFmtId="164" xfId="0" applyBorder="1" applyFont="1" applyNumberFormat="1"/>
    <xf borderId="12" fillId="0" fontId="9" numFmtId="0" xfId="0" applyAlignment="1" applyBorder="1" applyFont="1">
      <alignment vertical="bottom"/>
    </xf>
    <xf borderId="13" fillId="0" fontId="6" numFmtId="0" xfId="0" applyBorder="1" applyFont="1"/>
    <xf borderId="14" fillId="0" fontId="9" numFmtId="165" xfId="0" applyAlignment="1" applyBorder="1" applyFont="1" applyNumberFormat="1">
      <alignment vertical="bottom"/>
    </xf>
    <xf borderId="15" fillId="0" fontId="6" numFmtId="0" xfId="0" applyBorder="1" applyFont="1"/>
    <xf borderId="0" fillId="0" fontId="1" numFmtId="164" xfId="0" applyAlignment="1" applyFont="1" applyNumberFormat="1">
      <alignment horizontal="right" vertical="bottom"/>
    </xf>
    <xf borderId="0" fillId="3" fontId="12" numFmtId="165" xfId="0" applyAlignment="1" applyFont="1" applyNumberFormat="1">
      <alignment horizontal="left" readingOrder="0" vertical="bottom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13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>
        <v>1.0</v>
      </c>
      <c r="B14" s="22" t="s">
        <v>13</v>
      </c>
      <c r="C14" s="23">
        <v>5000000.0</v>
      </c>
      <c r="D14" s="24"/>
      <c r="E14" s="23">
        <v>0.0</v>
      </c>
      <c r="F14" s="25">
        <f t="shared" ref="F14:F17" si="1">C14-E14</f>
        <v>5000000</v>
      </c>
      <c r="G14" s="26" t="str">
        <f t="shared" ref="G14:G17" si="2">if(E14&gt;=C14,"Lunas","Tunggakan")</f>
        <v>Tunggakan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8"/>
      <c r="W14" s="28"/>
      <c r="X14" s="28"/>
      <c r="Y14" s="28"/>
      <c r="Z14" s="28"/>
    </row>
    <row r="15">
      <c r="A15" s="29">
        <v>2.0</v>
      </c>
      <c r="B15" s="22" t="s">
        <v>14</v>
      </c>
      <c r="C15" s="23">
        <v>5000000.0</v>
      </c>
      <c r="D15" s="24"/>
      <c r="E15" s="23">
        <v>0.0</v>
      </c>
      <c r="F15" s="25">
        <f t="shared" si="1"/>
        <v>5000000</v>
      </c>
      <c r="G15" s="26" t="str">
        <f t="shared" si="2"/>
        <v>Tunggakan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8"/>
      <c r="W15" s="28"/>
      <c r="X15" s="28"/>
      <c r="Y15" s="28"/>
      <c r="Z15" s="28"/>
    </row>
    <row r="16">
      <c r="A16" s="29">
        <v>3.0</v>
      </c>
      <c r="B16" s="30" t="s">
        <v>15</v>
      </c>
      <c r="C16" s="23">
        <v>5000000.0</v>
      </c>
      <c r="D16" s="24"/>
      <c r="E16" s="23">
        <v>0.0</v>
      </c>
      <c r="F16" s="25">
        <f t="shared" si="1"/>
        <v>5000000</v>
      </c>
      <c r="G16" s="26" t="str">
        <f t="shared" si="2"/>
        <v>Tunggakan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8"/>
      <c r="W16" s="28"/>
      <c r="X16" s="28"/>
      <c r="Y16" s="28"/>
      <c r="Z16" s="28"/>
    </row>
    <row r="17">
      <c r="A17" s="29">
        <v>4.0</v>
      </c>
      <c r="B17" s="30" t="s">
        <v>16</v>
      </c>
      <c r="C17" s="23">
        <v>5000000.0</v>
      </c>
      <c r="D17" s="24"/>
      <c r="E17" s="23">
        <v>0.0</v>
      </c>
      <c r="F17" s="25">
        <f t="shared" si="1"/>
        <v>5000000</v>
      </c>
      <c r="G17" s="26" t="str">
        <f t="shared" si="2"/>
        <v>Tunggakan</v>
      </c>
      <c r="H17" s="27"/>
      <c r="I17" s="31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2"/>
      <c r="B18" s="33"/>
      <c r="C18" s="34"/>
      <c r="D18" s="35"/>
      <c r="E18" s="34"/>
      <c r="F18" s="34"/>
      <c r="G18" s="36"/>
      <c r="H18" s="27"/>
      <c r="I18" s="31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7" t="s">
        <v>17</v>
      </c>
      <c r="B19" s="38"/>
      <c r="C19" s="39">
        <f>sum(C14:C18)</f>
        <v>20000000</v>
      </c>
      <c r="D19" s="40"/>
      <c r="E19" s="40">
        <f t="shared" ref="E19:F19" si="3">SUM(E14:E18)</f>
        <v>0</v>
      </c>
      <c r="F19" s="40">
        <f t="shared" si="3"/>
        <v>20000000</v>
      </c>
      <c r="G19" s="41"/>
      <c r="H19" s="42"/>
      <c r="I19" s="42"/>
      <c r="J19" s="42"/>
      <c r="K19" s="43"/>
      <c r="L19" s="44"/>
      <c r="M19" s="44"/>
      <c r="N19" s="44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5"/>
      <c r="B20" s="45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6" t="s">
        <v>18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/>
      <c r="B22" s="13"/>
      <c r="C22" s="14"/>
      <c r="D22" s="15"/>
      <c r="E22" s="14"/>
      <c r="F22" s="14"/>
      <c r="G22" s="13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7" t="s">
        <v>7</v>
      </c>
      <c r="B23" s="48" t="s">
        <v>8</v>
      </c>
      <c r="C23" s="49" t="s">
        <v>9</v>
      </c>
      <c r="D23" s="50" t="s">
        <v>10</v>
      </c>
      <c r="E23" s="49" t="s">
        <v>11</v>
      </c>
      <c r="F23" s="49" t="s">
        <v>12</v>
      </c>
      <c r="G23" s="48" t="s">
        <v>8</v>
      </c>
      <c r="H23" s="51"/>
      <c r="I23" s="51"/>
      <c r="J23" s="51"/>
      <c r="K23" s="52"/>
      <c r="L23" s="53"/>
      <c r="M23" s="53"/>
      <c r="N23" s="53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4">
        <v>1.0</v>
      </c>
      <c r="B24" s="55" t="s">
        <v>19</v>
      </c>
      <c r="C24" s="56" t="s">
        <v>20</v>
      </c>
      <c r="D24" s="57"/>
      <c r="E24" s="57"/>
      <c r="F24" s="57"/>
      <c r="G24" s="58"/>
      <c r="H24" s="27"/>
      <c r="I24" s="27"/>
      <c r="J24" s="27"/>
      <c r="K24" s="59"/>
      <c r="L24" s="60"/>
      <c r="M24" s="60"/>
      <c r="N24" s="60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54">
        <v>2.0</v>
      </c>
      <c r="B25" s="33" t="s">
        <v>21</v>
      </c>
      <c r="C25" s="61"/>
      <c r="G25" s="62"/>
      <c r="H25" s="27"/>
      <c r="I25" s="27"/>
      <c r="J25" s="27"/>
      <c r="K25" s="59"/>
      <c r="L25" s="60"/>
      <c r="M25" s="60"/>
      <c r="N25" s="60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54">
        <v>3.0</v>
      </c>
      <c r="B26" s="55" t="s">
        <v>22</v>
      </c>
      <c r="C26" s="63"/>
      <c r="D26" s="38"/>
      <c r="E26" s="38"/>
      <c r="F26" s="38"/>
      <c r="G26" s="64"/>
      <c r="H26" s="27"/>
      <c r="I26" s="27"/>
      <c r="J26" s="27"/>
      <c r="K26" s="59"/>
      <c r="L26" s="60"/>
      <c r="M26" s="60"/>
      <c r="N26" s="60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54">
        <v>4.0</v>
      </c>
      <c r="B27" s="55" t="s">
        <v>23</v>
      </c>
      <c r="C27" s="34"/>
      <c r="D27" s="35"/>
      <c r="E27" s="34"/>
      <c r="F27" s="65"/>
      <c r="G27" s="33"/>
      <c r="H27" s="27"/>
      <c r="I27" s="27"/>
      <c r="J27" s="27"/>
      <c r="K27" s="59"/>
      <c r="L27" s="60"/>
      <c r="M27" s="60"/>
      <c r="N27" s="60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66" t="s">
        <v>24</v>
      </c>
      <c r="B28" s="38"/>
      <c r="C28" s="39">
        <f>SUM(C24:C27)</f>
        <v>0</v>
      </c>
      <c r="D28" s="67"/>
      <c r="E28" s="40">
        <f>sum(E24:E27)</f>
        <v>0</v>
      </c>
      <c r="F28" s="40">
        <f>SUM(F24:F27)</f>
        <v>0</v>
      </c>
      <c r="G28" s="41"/>
      <c r="H28" s="42"/>
      <c r="I28" s="42"/>
      <c r="J28" s="42"/>
      <c r="K28" s="43"/>
      <c r="L28" s="44"/>
      <c r="M28" s="44"/>
      <c r="N28" s="44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68" t="s">
        <v>25</v>
      </c>
      <c r="B29" s="38"/>
      <c r="C29" s="69">
        <f>C19+C28</f>
        <v>20000000</v>
      </c>
      <c r="D29" s="70"/>
      <c r="E29" s="71">
        <f>E28+E19</f>
        <v>0</v>
      </c>
      <c r="F29" s="72">
        <f>F19+F28</f>
        <v>20000000</v>
      </c>
      <c r="G29" s="73"/>
      <c r="H29" s="42"/>
      <c r="I29" s="42"/>
      <c r="J29" s="42"/>
      <c r="K29" s="43"/>
      <c r="L29" s="44"/>
      <c r="M29" s="44"/>
      <c r="N29" s="44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5"/>
      <c r="B30" s="74"/>
      <c r="E30" s="3"/>
      <c r="F30" s="75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6"/>
      <c r="B31" s="9"/>
      <c r="C31" s="10"/>
      <c r="D31" s="10"/>
      <c r="E31" s="77"/>
      <c r="F31" s="78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9" t="s">
        <v>26</v>
      </c>
      <c r="G32" s="80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9" t="s">
        <v>27</v>
      </c>
      <c r="G33" s="80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9" t="s">
        <v>28</v>
      </c>
      <c r="G34" s="80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1" t="s">
        <v>29</v>
      </c>
      <c r="B35" s="10"/>
      <c r="C35" s="10"/>
      <c r="D35" s="10"/>
      <c r="E35" s="10"/>
      <c r="F35" s="10"/>
      <c r="G35" s="82"/>
      <c r="H35" s="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3"/>
      <c r="D36" s="4"/>
      <c r="E36" s="3"/>
      <c r="F36" s="83" t="s">
        <v>30</v>
      </c>
      <c r="G36" s="84">
        <v>45356.0</v>
      </c>
      <c r="H36" s="85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2"/>
      <c r="B37" s="3"/>
      <c r="C37" s="3"/>
      <c r="D37" s="4"/>
      <c r="E37" s="3"/>
      <c r="F37" s="86" t="s">
        <v>31</v>
      </c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86" t="s">
        <v>32</v>
      </c>
      <c r="D38" s="4"/>
      <c r="E38" s="3"/>
      <c r="F38" s="86" t="s">
        <v>33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75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7" t="s">
        <v>34</v>
      </c>
      <c r="C43" s="10"/>
      <c r="D43" s="4"/>
      <c r="E43" s="3"/>
      <c r="F43" s="87" t="s">
        <v>35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88" t="s">
        <v>36</v>
      </c>
      <c r="D44" s="4"/>
      <c r="E44" s="3"/>
      <c r="F44" s="89" t="s">
        <v>37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75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74"/>
      <c r="D46" s="4"/>
      <c r="E46" s="75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0">
    <mergeCell ref="C2:G2"/>
    <mergeCell ref="C4:G4"/>
    <mergeCell ref="A5:G5"/>
    <mergeCell ref="A7:H7"/>
    <mergeCell ref="A8:H8"/>
    <mergeCell ref="A9:H9"/>
    <mergeCell ref="A10:G10"/>
    <mergeCell ref="C24:G26"/>
    <mergeCell ref="B30:D30"/>
    <mergeCell ref="F30:G30"/>
    <mergeCell ref="F31:G31"/>
    <mergeCell ref="A19:B19"/>
    <mergeCell ref="A28:B28"/>
    <mergeCell ref="A29:B29"/>
    <mergeCell ref="B31:D31"/>
    <mergeCell ref="A32:G32"/>
    <mergeCell ref="A33:G33"/>
    <mergeCell ref="A34:G34"/>
    <mergeCell ref="A35:G35"/>
    <mergeCell ref="F37:G37"/>
    <mergeCell ref="B38:C38"/>
    <mergeCell ref="B46:C46"/>
    <mergeCell ref="E46:G46"/>
    <mergeCell ref="F38:G38"/>
    <mergeCell ref="F41:G41"/>
    <mergeCell ref="B43:C43"/>
    <mergeCell ref="F43:G43"/>
    <mergeCell ref="B44:C44"/>
    <mergeCell ref="F44:G44"/>
    <mergeCell ref="E45:F45"/>
  </mergeCell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