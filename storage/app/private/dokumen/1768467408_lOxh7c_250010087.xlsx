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M LAMA " sheetId="1" r:id="rId4"/>
    <sheet state="visible" name="NIM BARU " sheetId="2" r:id="rId5"/>
  </sheets>
  <definedNames/>
  <calcPr/>
  <extLst>
    <ext uri="GoogleSheetsCustomDataVersion2">
      <go:sheetsCustomData xmlns:go="http://customooxmlschemas.google.com/" r:id="rId6" roundtripDataChecksum="KjhftXvp8xel3TuJJFMaBtPouLrLAWleEPB3kJ92+DI="/>
    </ext>
  </extLst>
</workbook>
</file>

<file path=xl/sharedStrings.xml><?xml version="1.0" encoding="utf-8"?>
<sst xmlns="http://schemas.openxmlformats.org/spreadsheetml/2006/main" count="89" uniqueCount="44">
  <si>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</si>
  <si>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</si>
  <si>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</si>
  <si>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190030888</t>
  </si>
  <si>
    <t>Nama     : Dinar Ramadhanty</t>
  </si>
  <si>
    <t>Prodi      : S1-SISTEM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</si>
  <si>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</si>
  <si>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</si>
  <si>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</si>
  <si>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</si>
  <si>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</si>
  <si>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</si>
  <si>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</si>
  <si>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Genap 2023/2024</t>
  </si>
  <si>
    <t>Ganjil 2024/2025</t>
  </si>
  <si>
    <t>Biaya Tidak AKtif (Genap 2024/2025)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</si>
  <si>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</si>
  <si>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</si>
  <si>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</si>
  <si>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Pindahan Dari Karyawan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</si>
  <si>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</si>
  <si>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</si>
  <si>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</si>
  <si>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</si>
  <si>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</si>
  <si>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</si>
  <si>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</si>
  <si>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</si>
  <si>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</si>
  <si>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</si>
  <si>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</si>
  <si>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</si>
  <si>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</si>
  <si>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</si>
  <si>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</si>
  <si>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</si>
  <si>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</si>
  <si>
    <t>Nim        : 250010087</t>
  </si>
  <si>
    <t>Prodi      : S1-SISTEM KOMPUTER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</si>
  <si>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</si>
  <si>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SMT ganjil 2025/2026</t>
  </si>
  <si>
    <t>SMT genap 2025/2026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</si>
  <si>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</si>
  <si>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 xml:space="preserve">Mahasiswa Renim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</si>
</sst>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  <numFmt numFmtId="168" formatCode="&quot;$&quot;#,##0.00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9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shrinkToFit="0" vertical="center" wrapText="1"/>
    </xf>
    <xf borderId="5" fillId="0" fontId="9" numFmtId="164" xfId="0" applyAlignment="1" applyBorder="1" applyFont="1" applyNumberFormat="1">
      <alignment readingOrder="0" vertical="center"/>
    </xf>
    <xf borderId="5" fillId="0" fontId="9" numFmtId="165" xfId="0" applyAlignment="1" applyBorder="1" applyFont="1" applyNumberFormat="1">
      <alignment readingOrder="0" vertical="center"/>
    </xf>
    <xf borderId="5" fillId="0" fontId="9" numFmtId="164" xfId="0" applyAlignment="1" applyBorder="1" applyFont="1" applyNumberFormat="1">
      <alignment vertical="center"/>
    </xf>
    <xf borderId="5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5" fillId="0" fontId="9" numFmtId="0" xfId="0" applyAlignment="1" applyBorder="1" applyFont="1">
      <alignment horizontal="center" readingOrder="0" vertical="center"/>
    </xf>
    <xf borderId="5" fillId="3" fontId="9" numFmtId="0" xfId="0" applyAlignment="1" applyBorder="1" applyFont="1">
      <alignment readingOrder="0" shrinkToFit="0" vertical="center" wrapText="1"/>
    </xf>
    <xf borderId="6" fillId="0" fontId="9" numFmtId="0" xfId="0" applyAlignment="1" applyBorder="1" applyFont="1">
      <alignment horizontal="center" readingOrder="0" vertical="center"/>
    </xf>
    <xf borderId="6" fillId="3" fontId="9" numFmtId="0" xfId="0" applyAlignment="1" applyBorder="1" applyFont="1">
      <alignment readingOrder="0" shrinkToFit="0" vertical="center" wrapText="1"/>
    </xf>
    <xf borderId="6" fillId="0" fontId="9" numFmtId="164" xfId="0" applyAlignment="1" applyBorder="1" applyFont="1" applyNumberFormat="1">
      <alignment readingOrder="0" vertical="center"/>
    </xf>
    <xf borderId="5" fillId="0" fontId="9" numFmtId="165" xfId="0" applyAlignment="1" applyBorder="1" applyFont="1" applyNumberFormat="1">
      <alignment readingOrder="0" vertical="center"/>
    </xf>
    <xf borderId="3" fillId="0" fontId="6" numFmtId="0" xfId="0" applyBorder="1" applyFont="1"/>
    <xf borderId="0" fillId="0" fontId="9" numFmtId="167" xfId="0" applyAlignment="1" applyFont="1" applyNumberFormat="1">
      <alignment vertical="center"/>
    </xf>
    <xf borderId="7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8" fillId="3" fontId="1" numFmtId="164" xfId="0" applyAlignment="1" applyBorder="1" applyFont="1" applyNumberFormat="1">
      <alignment horizontal="center" readingOrder="0" vertical="center"/>
    </xf>
    <xf borderId="9" fillId="0" fontId="6" numFmtId="0" xfId="0" applyBorder="1" applyFont="1"/>
    <xf borderId="10" fillId="0" fontId="6" numFmtId="0" xfId="0" applyBorder="1" applyFont="1"/>
    <xf borderId="0" fillId="0" fontId="9" numFmtId="166" xfId="0" applyAlignment="1" applyFont="1" applyNumberFormat="1">
      <alignment vertical="center"/>
    </xf>
    <xf borderId="0" fillId="0" fontId="9" numFmtId="3" xfId="0" applyAlignment="1" applyFont="1" applyNumberFormat="1">
      <alignment vertical="center"/>
    </xf>
    <xf borderId="4" fillId="3" fontId="9" numFmtId="0" xfId="0" applyAlignment="1" applyBorder="1" applyFont="1">
      <alignment vertical="center"/>
    </xf>
    <xf borderId="11" fillId="0" fontId="6" numFmtId="0" xfId="0" applyBorder="1" applyFont="1"/>
    <xf borderId="12" fillId="0" fontId="6" numFmtId="0" xfId="0" applyBorder="1" applyFont="1"/>
    <xf borderId="7" fillId="0" fontId="6" numFmtId="0" xfId="0" applyBorder="1" applyFont="1"/>
    <xf borderId="4" fillId="0" fontId="6" numFmtId="0" xfId="0" applyBorder="1" applyFont="1"/>
    <xf borderId="4" fillId="0" fontId="9" numFmtId="164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vertical="center"/>
    </xf>
    <xf borderId="4" fillId="3" fontId="9" numFmtId="164" xfId="0" applyAlignment="1" applyBorder="1" applyFont="1" applyNumberFormat="1">
      <alignment vertical="center"/>
    </xf>
    <xf borderId="7" fillId="2" fontId="10" numFmtId="0" xfId="0" applyAlignment="1" applyBorder="1" applyFont="1">
      <alignment horizontal="center" vertical="center"/>
    </xf>
    <xf borderId="2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7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12" fillId="4" fontId="10" numFmtId="164" xfId="0" applyAlignment="1" applyBorder="1" applyFont="1" applyNumberFormat="1">
      <alignment horizontal="center" vertical="center"/>
    </xf>
    <xf borderId="12" fillId="4" fontId="10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3" fillId="0" fontId="9" numFmtId="0" xfId="0" applyAlignment="1" applyBorder="1" applyFont="1">
      <alignment vertical="center"/>
    </xf>
    <xf borderId="14" fillId="0" fontId="6" numFmtId="0" xfId="0" applyBorder="1" applyFont="1"/>
    <xf borderId="15" fillId="0" fontId="9" numFmtId="165" xfId="0" applyAlignment="1" applyBorder="1" applyFont="1" applyNumberFormat="1">
      <alignment vertical="center"/>
    </xf>
    <xf borderId="16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2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5" fillId="3" fontId="9" numFmtId="168" xfId="0" applyAlignment="1" applyBorder="1" applyFont="1" applyNumberFormat="1">
      <alignment readingOrder="0" shrinkToFit="0" vertical="center" wrapText="1"/>
    </xf>
    <xf borderId="5" fillId="3" fontId="9" numFmtId="164" xfId="0" applyAlignment="1" applyBorder="1" applyFont="1" applyNumberFormat="1">
      <alignment horizontal="center" readingOrder="0" vertical="center"/>
    </xf>
    <xf borderId="17" fillId="2" fontId="10" numFmtId="0" xfId="0" applyAlignment="1" applyBorder="1" applyFont="1">
      <alignment horizontal="center" vertical="center"/>
    </xf>
    <xf borderId="18" fillId="0" fontId="6" numFmtId="0" xfId="0" applyBorder="1" applyFont="1"/>
    <xf borderId="5" fillId="2" fontId="10" numFmtId="164" xfId="0" applyAlignment="1" applyBorder="1" applyFont="1" applyNumberFormat="1">
      <alignment horizontal="center" vertical="center"/>
    </xf>
    <xf borderId="5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vertical="center"/>
    </xf>
    <xf borderId="17" fillId="4" fontId="10" numFmtId="0" xfId="0" applyAlignment="1" applyBorder="1" applyFont="1">
      <alignment horizontal="center" vertical="center"/>
    </xf>
    <xf borderId="5" fillId="4" fontId="10" numFmtId="164" xfId="0" applyAlignment="1" applyBorder="1" applyFont="1" applyNumberFormat="1">
      <alignment horizontal="center" vertical="center"/>
    </xf>
    <xf borderId="5" fillId="4" fontId="10" numFmtId="0" xfId="0" applyAlignment="1" applyBorder="1" applyFont="1">
      <alignment horizontal="center" vertical="center"/>
    </xf>
    <xf borderId="5" fillId="4" fontId="10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6</v>
      </c>
      <c r="B12" s="13"/>
      <c r="C12" s="14"/>
      <c r="D12" s="15"/>
      <c r="E12" s="14"/>
      <c r="F12" s="14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18" t="s">
        <v>12</v>
      </c>
      <c r="G13" s="17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>
        <v>1.0</v>
      </c>
      <c r="B14" s="21" t="s">
        <v>13</v>
      </c>
      <c r="C14" s="22">
        <v>6000000.0</v>
      </c>
      <c r="D14" s="23">
        <v>45552.0</v>
      </c>
      <c r="E14" s="22">
        <v>6000000.0</v>
      </c>
      <c r="F14" s="24">
        <f>C14-E14</f>
        <v>0</v>
      </c>
      <c r="G14" s="25" t="str">
        <f>if(E14&gt;=C14,"Lunas","Tunggakan")</f>
        <v>Lunas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7"/>
      <c r="W14" s="27"/>
      <c r="X14" s="27"/>
      <c r="Y14" s="27"/>
      <c r="Z14" s="27"/>
    </row>
    <row r="15">
      <c r="A15" s="28">
        <v>2.0</v>
      </c>
      <c r="B15" s="29" t="s">
        <v>14</v>
      </c>
      <c r="C15" s="22">
        <v>6000000.0</v>
      </c>
      <c r="D15" s="23">
        <v>45552.0</v>
      </c>
      <c r="E15" s="22">
        <v>3000000.0</v>
      </c>
      <c r="F15" s="24">
        <f>C15-E15-E16</f>
        <v>0</v>
      </c>
      <c r="G15" s="25" t="str">
        <f>if(E15&gt;=E16,"Lunas","Tunggakan")</f>
        <v>Lunas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7"/>
      <c r="W15" s="27"/>
      <c r="X15" s="27"/>
      <c r="Y15" s="27"/>
      <c r="Z15" s="27"/>
    </row>
    <row r="16">
      <c r="A16" s="30">
        <v>3.0</v>
      </c>
      <c r="B16" s="31" t="s">
        <v>15</v>
      </c>
      <c r="C16" s="32">
        <v>1100000.0</v>
      </c>
      <c r="D16" s="33">
        <v>45855.0</v>
      </c>
      <c r="E16" s="22">
        <v>3000000.0</v>
      </c>
      <c r="F16" s="24">
        <f>C16-E17</f>
        <v>0</v>
      </c>
      <c r="G16" s="25" t="str">
        <f>if(E16&gt;=C16,"Lunas","Tunggakan")</f>
        <v>Lunas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7"/>
      <c r="W16" s="27"/>
      <c r="X16" s="27"/>
      <c r="Y16" s="27"/>
      <c r="Z16" s="27"/>
    </row>
    <row r="17">
      <c r="A17" s="34"/>
      <c r="B17" s="34"/>
      <c r="C17" s="34"/>
      <c r="D17" s="23">
        <v>45855.0</v>
      </c>
      <c r="E17" s="22">
        <v>1100000.0</v>
      </c>
      <c r="F17" s="24"/>
      <c r="G17" s="25"/>
      <c r="H17" s="26"/>
      <c r="I17" s="35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36" t="s">
        <v>16</v>
      </c>
      <c r="B18" s="37"/>
      <c r="C18" s="38">
        <f>sum(C14:C16)</f>
        <v>13100000</v>
      </c>
      <c r="D18" s="39"/>
      <c r="E18" s="39">
        <f t="shared" ref="E18:F18" si="1">SUM(E14:E17)</f>
        <v>13100000</v>
      </c>
      <c r="F18" s="39">
        <f t="shared" si="1"/>
        <v>0</v>
      </c>
      <c r="G18" s="40"/>
      <c r="H18" s="41"/>
      <c r="I18" s="41"/>
      <c r="J18" s="41"/>
      <c r="K18" s="42"/>
      <c r="L18" s="43"/>
      <c r="M18" s="43"/>
      <c r="N18" s="43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4"/>
      <c r="B19" s="44"/>
      <c r="C19" s="3"/>
      <c r="D19" s="4"/>
      <c r="E19" s="3"/>
      <c r="F19" s="3"/>
      <c r="G19" s="2"/>
      <c r="H19" s="2"/>
      <c r="I19" s="2"/>
      <c r="J19" s="2"/>
      <c r="K19" s="5"/>
      <c r="L19" s="6"/>
      <c r="M19" s="6"/>
      <c r="N19" s="6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5" t="s">
        <v>17</v>
      </c>
      <c r="B20" s="2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/>
      <c r="B21" s="13"/>
      <c r="C21" s="14"/>
      <c r="D21" s="15"/>
      <c r="E21" s="14"/>
      <c r="F21" s="14"/>
      <c r="G21" s="13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6" t="s">
        <v>7</v>
      </c>
      <c r="B22" s="17" t="s">
        <v>8</v>
      </c>
      <c r="C22" s="18" t="s">
        <v>9</v>
      </c>
      <c r="D22" s="19" t="s">
        <v>10</v>
      </c>
      <c r="E22" s="18" t="s">
        <v>11</v>
      </c>
      <c r="F22" s="18" t="s">
        <v>12</v>
      </c>
      <c r="G22" s="17" t="s">
        <v>8</v>
      </c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6">
        <v>1.0</v>
      </c>
      <c r="B23" s="47" t="s">
        <v>18</v>
      </c>
      <c r="C23" s="48" t="s">
        <v>19</v>
      </c>
      <c r="D23" s="49"/>
      <c r="E23" s="49"/>
      <c r="F23" s="49"/>
      <c r="G23" s="50"/>
      <c r="H23" s="26"/>
      <c r="I23" s="26"/>
      <c r="J23" s="26"/>
      <c r="K23" s="51"/>
      <c r="L23" s="52"/>
      <c r="M23" s="52"/>
      <c r="N23" s="52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46">
        <v>2.0</v>
      </c>
      <c r="B24" s="53" t="s">
        <v>20</v>
      </c>
      <c r="C24" s="54"/>
      <c r="G24" s="55"/>
      <c r="H24" s="26"/>
      <c r="I24" s="26"/>
      <c r="J24" s="26"/>
      <c r="K24" s="51"/>
      <c r="L24" s="52"/>
      <c r="M24" s="52"/>
      <c r="N24" s="52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46">
        <v>3.0</v>
      </c>
      <c r="B25" s="47" t="s">
        <v>21</v>
      </c>
      <c r="C25" s="56"/>
      <c r="D25" s="37"/>
      <c r="E25" s="37"/>
      <c r="F25" s="37"/>
      <c r="G25" s="57"/>
      <c r="H25" s="26"/>
      <c r="I25" s="26"/>
      <c r="J25" s="26"/>
      <c r="K25" s="51"/>
      <c r="L25" s="52"/>
      <c r="M25" s="52"/>
      <c r="N25" s="52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46">
        <v>4.0</v>
      </c>
      <c r="B26" s="47" t="s">
        <v>22</v>
      </c>
      <c r="C26" s="58"/>
      <c r="D26" s="59"/>
      <c r="E26" s="58"/>
      <c r="F26" s="60"/>
      <c r="G26" s="53"/>
      <c r="H26" s="26"/>
      <c r="I26" s="26"/>
      <c r="J26" s="26"/>
      <c r="K26" s="51"/>
      <c r="L26" s="52"/>
      <c r="M26" s="52"/>
      <c r="N26" s="52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61" t="s">
        <v>23</v>
      </c>
      <c r="B27" s="37"/>
      <c r="C27" s="62"/>
      <c r="D27" s="63"/>
      <c r="E27" s="39">
        <f>sum(E23:E26)</f>
        <v>0</v>
      </c>
      <c r="F27" s="39">
        <f>SUM(F23:F26)</f>
        <v>0</v>
      </c>
      <c r="G27" s="40"/>
      <c r="H27" s="41"/>
      <c r="I27" s="41"/>
      <c r="J27" s="41"/>
      <c r="K27" s="42"/>
      <c r="L27" s="43"/>
      <c r="M27" s="43"/>
      <c r="N27" s="43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4" t="s">
        <v>24</v>
      </c>
      <c r="B28" s="37"/>
      <c r="C28" s="65">
        <f>C18+C27</f>
        <v>13100000</v>
      </c>
      <c r="D28" s="66"/>
      <c r="E28" s="67">
        <f>E27+E18</f>
        <v>13100000</v>
      </c>
      <c r="F28" s="68">
        <f>F18+F27</f>
        <v>0</v>
      </c>
      <c r="G28" s="69"/>
      <c r="H28" s="41"/>
      <c r="I28" s="41"/>
      <c r="J28" s="41"/>
      <c r="K28" s="42"/>
      <c r="L28" s="43"/>
      <c r="M28" s="43"/>
      <c r="N28" s="43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4"/>
      <c r="B29" s="70"/>
      <c r="E29" s="3"/>
      <c r="F29" s="71"/>
      <c r="H29" s="2"/>
      <c r="I29" s="2"/>
      <c r="J29" s="2"/>
      <c r="K29" s="5"/>
      <c r="L29" s="6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2"/>
      <c r="B30" s="9"/>
      <c r="C30" s="10"/>
      <c r="D30" s="10"/>
      <c r="E30" s="73"/>
      <c r="F30" s="74"/>
      <c r="G30" s="10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5" t="s">
        <v>25</v>
      </c>
      <c r="G31" s="76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5" t="s">
        <v>26</v>
      </c>
      <c r="G32" s="76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5" t="s">
        <v>27</v>
      </c>
      <c r="G33" s="76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7" t="s">
        <v>28</v>
      </c>
      <c r="B34" s="10"/>
      <c r="C34" s="10"/>
      <c r="D34" s="10"/>
      <c r="E34" s="10"/>
      <c r="F34" s="10"/>
      <c r="G34" s="78"/>
      <c r="H34" s="4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7.5" customHeight="1">
      <c r="A35" s="2"/>
      <c r="B35" s="2"/>
      <c r="C35" s="3"/>
      <c r="D35" s="4"/>
      <c r="E35" s="3"/>
      <c r="F35" s="79" t="s">
        <v>29</v>
      </c>
      <c r="G35" s="80">
        <v>45855.0</v>
      </c>
      <c r="H35" s="81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5.25" customHeight="1">
      <c r="A36" s="2"/>
      <c r="B36" s="3"/>
      <c r="C36" s="3"/>
      <c r="D36" s="4"/>
      <c r="E36" s="3"/>
      <c r="F36" s="82" t="s">
        <v>30</v>
      </c>
      <c r="H36" s="3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82" t="s">
        <v>31</v>
      </c>
      <c r="D37" s="4"/>
      <c r="E37" s="3"/>
      <c r="F37" s="82" t="s">
        <v>32</v>
      </c>
      <c r="H37" s="2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3"/>
      <c r="D38" s="4"/>
      <c r="E38" s="3"/>
      <c r="F38" s="3"/>
      <c r="G38" s="4"/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2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71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3"/>
      <c r="C41" s="3"/>
      <c r="D41" s="4"/>
      <c r="E41" s="3"/>
      <c r="F41" s="3"/>
      <c r="G41" s="3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83" t="s">
        <v>33</v>
      </c>
      <c r="C42" s="10"/>
      <c r="D42" s="4"/>
      <c r="E42" s="3"/>
      <c r="F42" s="84" t="s">
        <v>34</v>
      </c>
      <c r="G42" s="10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5" t="s">
        <v>35</v>
      </c>
      <c r="D43" s="4"/>
      <c r="E43" s="3"/>
      <c r="F43" s="86" t="s">
        <v>36</v>
      </c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/>
      <c r="D44" s="4"/>
      <c r="E44" s="71"/>
      <c r="G44" s="2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70"/>
      <c r="D45" s="4"/>
      <c r="E45" s="71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4"/>
      <c r="E46" s="3"/>
      <c r="F46" s="3"/>
      <c r="G46" s="2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3">
    <mergeCell ref="C2:G2"/>
    <mergeCell ref="C4:G4"/>
    <mergeCell ref="A5:G5"/>
    <mergeCell ref="A7:H7"/>
    <mergeCell ref="A8:H8"/>
    <mergeCell ref="A9:H9"/>
    <mergeCell ref="A10:G10"/>
    <mergeCell ref="A16:A17"/>
    <mergeCell ref="B16:B17"/>
    <mergeCell ref="C16:C17"/>
    <mergeCell ref="A18:B18"/>
    <mergeCell ref="C23:G25"/>
    <mergeCell ref="A27:B27"/>
    <mergeCell ref="A28:B28"/>
    <mergeCell ref="F30:G30"/>
    <mergeCell ref="F36:G36"/>
    <mergeCell ref="F40:G40"/>
    <mergeCell ref="B29:D29"/>
    <mergeCell ref="F29:G29"/>
    <mergeCell ref="B30:D30"/>
    <mergeCell ref="A31:G31"/>
    <mergeCell ref="A32:G32"/>
    <mergeCell ref="A33:G33"/>
    <mergeCell ref="A34:G34"/>
    <mergeCell ref="B45:C45"/>
    <mergeCell ref="E45:G45"/>
    <mergeCell ref="B37:C37"/>
    <mergeCell ref="F37:G37"/>
    <mergeCell ref="B42:C42"/>
    <mergeCell ref="F42:G42"/>
    <mergeCell ref="B43:C43"/>
    <mergeCell ref="F43:G43"/>
    <mergeCell ref="E44:F44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37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38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39</v>
      </c>
      <c r="B12" s="13"/>
      <c r="C12" s="14"/>
      <c r="D12" s="15"/>
      <c r="E12" s="14"/>
      <c r="F12" s="14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18" t="s">
        <v>12</v>
      </c>
      <c r="G13" s="17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8">
        <v>1.0</v>
      </c>
      <c r="B14" s="29" t="s">
        <v>40</v>
      </c>
      <c r="C14" s="22">
        <v>6500000.0</v>
      </c>
      <c r="D14" s="23"/>
      <c r="E14" s="22">
        <v>0.0</v>
      </c>
      <c r="F14" s="24">
        <f t="shared" ref="F14:F15" si="1">C14-E14</f>
        <v>6500000</v>
      </c>
      <c r="G14" s="25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7"/>
      <c r="W14" s="27"/>
      <c r="X14" s="27"/>
      <c r="Y14" s="27"/>
      <c r="Z14" s="27"/>
    </row>
    <row r="15">
      <c r="A15" s="28">
        <v>2.0</v>
      </c>
      <c r="B15" s="87" t="s">
        <v>41</v>
      </c>
      <c r="C15" s="22">
        <v>6500000.0</v>
      </c>
      <c r="D15" s="23"/>
      <c r="E15" s="22">
        <v>0.0</v>
      </c>
      <c r="F15" s="24">
        <f t="shared" si="1"/>
        <v>6500000</v>
      </c>
      <c r="G15" s="25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7"/>
      <c r="W15" s="27"/>
      <c r="X15" s="27"/>
      <c r="Y15" s="27"/>
      <c r="Z15" s="27"/>
    </row>
    <row r="16">
      <c r="A16" s="28"/>
      <c r="B16" s="29"/>
      <c r="C16" s="22"/>
      <c r="D16" s="33"/>
      <c r="E16" s="22"/>
      <c r="F16" s="24"/>
      <c r="G16" s="25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7"/>
      <c r="W16" s="27"/>
      <c r="X16" s="27"/>
      <c r="Y16" s="27"/>
      <c r="Z16" s="27"/>
    </row>
    <row r="17">
      <c r="A17" s="28"/>
      <c r="B17" s="29"/>
      <c r="C17" s="22"/>
      <c r="D17" s="23"/>
      <c r="E17" s="22"/>
      <c r="F17" s="24"/>
      <c r="G17" s="25"/>
      <c r="H17" s="26"/>
      <c r="I17" s="35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36" t="s">
        <v>16</v>
      </c>
      <c r="B18" s="37"/>
      <c r="C18" s="38">
        <f>sum(C14:C16)</f>
        <v>13000000</v>
      </c>
      <c r="D18" s="39"/>
      <c r="E18" s="39">
        <f t="shared" ref="E18:F18" si="2">SUM(E14:E17)</f>
        <v>0</v>
      </c>
      <c r="F18" s="39">
        <f t="shared" si="2"/>
        <v>13000000</v>
      </c>
      <c r="G18" s="40"/>
      <c r="H18" s="41"/>
      <c r="I18" s="41"/>
      <c r="J18" s="41"/>
      <c r="K18" s="42"/>
      <c r="L18" s="43"/>
      <c r="M18" s="43"/>
      <c r="N18" s="43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4"/>
      <c r="B19" s="44"/>
      <c r="C19" s="3"/>
      <c r="D19" s="4"/>
      <c r="E19" s="3"/>
      <c r="F19" s="3"/>
      <c r="G19" s="2"/>
      <c r="H19" s="2"/>
      <c r="I19" s="2"/>
      <c r="J19" s="2"/>
      <c r="K19" s="5"/>
      <c r="L19" s="6"/>
      <c r="M19" s="6"/>
      <c r="N19" s="6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5" t="s">
        <v>42</v>
      </c>
      <c r="B20" s="2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/>
      <c r="B21" s="13"/>
      <c r="C21" s="14"/>
      <c r="D21" s="15"/>
      <c r="E21" s="14"/>
      <c r="F21" s="14"/>
      <c r="G21" s="13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6" t="s">
        <v>7</v>
      </c>
      <c r="B22" s="17" t="s">
        <v>8</v>
      </c>
      <c r="C22" s="18" t="s">
        <v>9</v>
      </c>
      <c r="D22" s="19" t="s">
        <v>10</v>
      </c>
      <c r="E22" s="18" t="s">
        <v>11</v>
      </c>
      <c r="F22" s="18" t="s">
        <v>12</v>
      </c>
      <c r="G22" s="17" t="s">
        <v>8</v>
      </c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6">
        <v>1.0</v>
      </c>
      <c r="B23" s="47" t="s">
        <v>18</v>
      </c>
      <c r="C23" s="88">
        <v>500000.0</v>
      </c>
      <c r="D23" s="88"/>
      <c r="E23" s="88"/>
      <c r="F23" s="88">
        <f>C23-E23</f>
        <v>500000</v>
      </c>
      <c r="G23" s="88"/>
      <c r="H23" s="26"/>
      <c r="I23" s="26"/>
      <c r="J23" s="26"/>
      <c r="K23" s="51"/>
      <c r="L23" s="52"/>
      <c r="M23" s="52"/>
      <c r="N23" s="52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46">
        <v>2.0</v>
      </c>
      <c r="B24" s="53" t="s">
        <v>20</v>
      </c>
      <c r="C24" s="48" t="s">
        <v>43</v>
      </c>
      <c r="D24" s="49"/>
      <c r="E24" s="49"/>
      <c r="F24" s="49"/>
      <c r="G24" s="50"/>
      <c r="H24" s="26"/>
      <c r="I24" s="26"/>
      <c r="J24" s="26"/>
      <c r="K24" s="51"/>
      <c r="L24" s="52"/>
      <c r="M24" s="52"/>
      <c r="N24" s="52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46">
        <v>3.0</v>
      </c>
      <c r="B25" s="47" t="s">
        <v>21</v>
      </c>
      <c r="C25" s="54"/>
      <c r="G25" s="55"/>
      <c r="H25" s="26"/>
      <c r="I25" s="26"/>
      <c r="J25" s="26"/>
      <c r="K25" s="51"/>
      <c r="L25" s="52"/>
      <c r="M25" s="52"/>
      <c r="N25" s="52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46">
        <v>4.0</v>
      </c>
      <c r="B26" s="47" t="s">
        <v>22</v>
      </c>
      <c r="C26" s="56"/>
      <c r="D26" s="37"/>
      <c r="E26" s="37"/>
      <c r="F26" s="37"/>
      <c r="G26" s="57"/>
      <c r="H26" s="26"/>
      <c r="I26" s="26"/>
      <c r="J26" s="26"/>
      <c r="K26" s="51"/>
      <c r="L26" s="52"/>
      <c r="M26" s="52"/>
      <c r="N26" s="52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89" t="s">
        <v>23</v>
      </c>
      <c r="B27" s="90"/>
      <c r="C27" s="91">
        <f>SUM(C23:C26)</f>
        <v>500000</v>
      </c>
      <c r="D27" s="92"/>
      <c r="E27" s="91">
        <f>sum(E23:E26)</f>
        <v>0</v>
      </c>
      <c r="F27" s="91">
        <f>SUM(F23:F26)</f>
        <v>500000</v>
      </c>
      <c r="G27" s="93"/>
      <c r="H27" s="41"/>
      <c r="I27" s="41"/>
      <c r="J27" s="41"/>
      <c r="K27" s="42"/>
      <c r="L27" s="43"/>
      <c r="M27" s="43"/>
      <c r="N27" s="43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94" t="s">
        <v>24</v>
      </c>
      <c r="B28" s="90"/>
      <c r="C28" s="95">
        <f>C18+C27</f>
        <v>13500000</v>
      </c>
      <c r="D28" s="96"/>
      <c r="E28" s="95">
        <f>E27+E18</f>
        <v>0</v>
      </c>
      <c r="F28" s="95">
        <f>F18+F27</f>
        <v>13500000</v>
      </c>
      <c r="G28" s="97"/>
      <c r="H28" s="41"/>
      <c r="I28" s="41"/>
      <c r="J28" s="41"/>
      <c r="K28" s="42"/>
      <c r="L28" s="43"/>
      <c r="M28" s="43"/>
      <c r="N28" s="43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4"/>
      <c r="B29" s="70"/>
      <c r="E29" s="3"/>
      <c r="F29" s="71"/>
      <c r="H29" s="2"/>
      <c r="I29" s="2"/>
      <c r="J29" s="2"/>
      <c r="K29" s="5"/>
      <c r="L29" s="6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2"/>
      <c r="B30" s="9"/>
      <c r="C30" s="10"/>
      <c r="D30" s="10"/>
      <c r="E30" s="73"/>
      <c r="F30" s="74"/>
      <c r="G30" s="10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5" t="s">
        <v>25</v>
      </c>
      <c r="G31" s="76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5" t="s">
        <v>26</v>
      </c>
      <c r="G32" s="76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5" t="s">
        <v>27</v>
      </c>
      <c r="G33" s="76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7" t="s">
        <v>28</v>
      </c>
      <c r="B34" s="10"/>
      <c r="C34" s="10"/>
      <c r="D34" s="10"/>
      <c r="E34" s="10"/>
      <c r="F34" s="10"/>
      <c r="G34" s="78"/>
      <c r="H34" s="4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7.5" customHeight="1">
      <c r="A35" s="2"/>
      <c r="B35" s="2"/>
      <c r="C35" s="3"/>
      <c r="D35" s="4"/>
      <c r="E35" s="3"/>
      <c r="F35" s="79" t="s">
        <v>29</v>
      </c>
      <c r="G35" s="80">
        <v>45901.0</v>
      </c>
      <c r="H35" s="81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5.25" customHeight="1">
      <c r="A36" s="2"/>
      <c r="B36" s="3"/>
      <c r="C36" s="3"/>
      <c r="D36" s="4"/>
      <c r="E36" s="3"/>
      <c r="F36" s="82" t="s">
        <v>30</v>
      </c>
      <c r="H36" s="3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82" t="s">
        <v>31</v>
      </c>
      <c r="D37" s="4"/>
      <c r="E37" s="3"/>
      <c r="F37" s="82" t="s">
        <v>32</v>
      </c>
      <c r="H37" s="2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3"/>
      <c r="D38" s="4"/>
      <c r="E38" s="3"/>
      <c r="F38" s="3"/>
      <c r="G38" s="4"/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2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71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3"/>
      <c r="C41" s="3"/>
      <c r="D41" s="4"/>
      <c r="E41" s="3"/>
      <c r="F41" s="3"/>
      <c r="G41" s="3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83" t="s">
        <v>33</v>
      </c>
      <c r="C42" s="10"/>
      <c r="D42" s="4"/>
      <c r="E42" s="3"/>
      <c r="F42" s="84" t="s">
        <v>34</v>
      </c>
      <c r="G42" s="10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5" t="s">
        <v>35</v>
      </c>
      <c r="D43" s="4"/>
      <c r="E43" s="3"/>
      <c r="F43" s="86" t="s">
        <v>36</v>
      </c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/>
      <c r="D44" s="4"/>
      <c r="E44" s="71"/>
      <c r="G44" s="2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70"/>
      <c r="D45" s="4"/>
      <c r="E45" s="71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4"/>
      <c r="E46" s="3"/>
      <c r="F46" s="3"/>
      <c r="G46" s="2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0">
    <mergeCell ref="C2:G2"/>
    <mergeCell ref="C4:G4"/>
    <mergeCell ref="A5:G5"/>
    <mergeCell ref="A7:H7"/>
    <mergeCell ref="A8:H8"/>
    <mergeCell ref="A9:H9"/>
    <mergeCell ref="A10:G10"/>
    <mergeCell ref="A18:B18"/>
    <mergeCell ref="C24:G26"/>
    <mergeCell ref="A27:B27"/>
    <mergeCell ref="A28:B28"/>
    <mergeCell ref="B29:D29"/>
    <mergeCell ref="F29:G29"/>
    <mergeCell ref="F30:G30"/>
    <mergeCell ref="B30:D30"/>
    <mergeCell ref="A31:G31"/>
    <mergeCell ref="A32:G32"/>
    <mergeCell ref="A33:G33"/>
    <mergeCell ref="A34:G34"/>
    <mergeCell ref="F36:G36"/>
    <mergeCell ref="B37:C37"/>
    <mergeCell ref="B45:C45"/>
    <mergeCell ref="E45:G45"/>
    <mergeCell ref="F37:G37"/>
    <mergeCell ref="F40:G40"/>
    <mergeCell ref="B42:C42"/>
    <mergeCell ref="F42:G42"/>
    <mergeCell ref="B43:C43"/>
    <mergeCell ref="F43:G43"/>
    <mergeCell ref="E44:F44"/>
  </mergeCells>
  <printOptions horizontalCentered="1"/>
  <pageMargins bottom="0.75" footer="0.0" header="0.0" left="0.7" right="0.7" top="0.75"/>
  <pageSetup fitToWidth="0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