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Z2EiOeWp5Kl1OQ0WQY5z1E+ovci19u3O56/dcfVZuq8="/>
    </ext>
  </extLst>
</workbook>
</file>

<file path=xl/sharedStrings.xml><?xml version="1.0" encoding="utf-8"?>
<sst xmlns="http://schemas.openxmlformats.org/spreadsheetml/2006/main" count="47" uniqueCount="38">
  <si>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</si>
  <si>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</si>
  <si>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</si>
  <si>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210010059</t>
  </si>
  <si>
    <t>Nama     : Andi Kurniyawan</t>
  </si>
  <si>
    <t>Prodi      : S1-SISTEM KOMPUTER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</si>
  <si>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</si>
  <si>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</si>
  <si>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</si>
  <si>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</si>
  <si>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</si>
  <si>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</si>
  <si>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</si>
  <si>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</si>
  <si>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</si>
  <si>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>Lunas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</si>
  <si>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</si>
  <si>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</si>
  <si>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</si>
  <si>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</si>
  <si>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 xml:space="preserve">Pindahan Dari Reguler 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</si>
  <si>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</si>
  <si>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</si>
  <si>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</si>
  <si>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</si>
  <si>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</si>
  <si>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</si>
  <si>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</si>
  <si>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</si>
  <si>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</si>
  <si>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</si>
  <si>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</si>
  <si>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</si>
  <si>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</si>
  <si>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</si>
  <si>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I GST AYU ALIT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</si>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</sst>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6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164" xfId="0" applyAlignment="1" applyFont="1" applyNumberFormat="1">
      <alignment horizontal="center" vertical="bottom"/>
    </xf>
    <xf borderId="0" fillId="0" fontId="4" numFmtId="164" xfId="0" applyAlignment="1" applyFont="1" applyNumberFormat="1">
      <alignment vertical="bottom"/>
    </xf>
    <xf borderId="1" fillId="0" fontId="5" numFmtId="0" xfId="0" applyBorder="1" applyFont="1"/>
    <xf borderId="1" fillId="0" fontId="6" numFmtId="0" xfId="0" applyBorder="1" applyFont="1"/>
    <xf borderId="0" fillId="0" fontId="4" numFmtId="0" xfId="0" applyAlignment="1" applyFont="1">
      <alignment readingOrder="0" vertical="bottom"/>
    </xf>
    <xf borderId="2" fillId="0" fontId="7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ill="1" applyFont="1">
      <alignment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bottom"/>
    </xf>
    <xf borderId="5" fillId="3" fontId="9" numFmtId="0" xfId="0" applyAlignment="1" applyBorder="1" applyFont="1">
      <alignment readingOrder="0" vertical="bottom"/>
    </xf>
    <xf borderId="5" fillId="0" fontId="9" numFmtId="164" xfId="0" applyAlignment="1" applyBorder="1" applyFont="1" applyNumberFormat="1">
      <alignment readingOrder="0" vertical="bottom"/>
    </xf>
    <xf borderId="5" fillId="0" fontId="9" numFmtId="165" xfId="0" applyAlignment="1" applyBorder="1" applyFont="1" applyNumberFormat="1">
      <alignment readingOrder="0" vertical="bottom"/>
    </xf>
    <xf borderId="5" fillId="0" fontId="9" numFmtId="164" xfId="0" applyAlignment="1" applyBorder="1" applyFont="1" applyNumberFormat="1">
      <alignment vertical="bottom"/>
    </xf>
    <xf borderId="5" fillId="0" fontId="9" numFmtId="0" xfId="0" applyAlignment="1" applyBorder="1" applyFont="1">
      <alignment readingOrder="0" vertical="bottom"/>
    </xf>
    <xf borderId="0" fillId="0" fontId="9" numFmtId="0" xfId="0" applyAlignment="1" applyFont="1">
      <alignment vertical="bottom"/>
    </xf>
    <xf borderId="0" fillId="0" fontId="9" numFmtId="0" xfId="0" applyFont="1"/>
    <xf borderId="0" fillId="0" fontId="9" numFmtId="167" xfId="0" applyAlignment="1" applyFont="1" applyNumberFormat="1">
      <alignment vertical="bottom"/>
    </xf>
    <xf borderId="3" fillId="0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vertical="bottom"/>
    </xf>
    <xf borderId="4" fillId="0" fontId="9" numFmtId="164" xfId="0" applyAlignment="1" applyBorder="1" applyFont="1" applyNumberFormat="1">
      <alignment vertical="bottom"/>
    </xf>
    <xf borderId="4" fillId="0" fontId="9" numFmtId="165" xfId="0" applyAlignment="1" applyBorder="1" applyFont="1" applyNumberFormat="1">
      <alignment vertical="bottom"/>
    </xf>
    <xf borderId="4" fillId="0" fontId="9" numFmtId="0" xfId="0" applyAlignment="1" applyBorder="1" applyFont="1">
      <alignment vertical="bottom"/>
    </xf>
    <xf borderId="6" fillId="2" fontId="10" numFmtId="164" xfId="0" applyAlignment="1" applyBorder="1" applyFont="1" applyNumberFormat="1">
      <alignment horizontal="center" vertical="bottom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bottom"/>
    </xf>
    <xf borderId="4" fillId="2" fontId="10" numFmtId="164" xfId="0" applyAlignment="1" applyBorder="1" applyFont="1" applyNumberFormat="1">
      <alignment horizontal="center" vertical="bottom"/>
    </xf>
    <xf borderId="4" fillId="2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166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3" fillId="2" fontId="8" numFmtId="0" xfId="0" applyAlignment="1" applyBorder="1" applyFont="1">
      <alignment horizontal="center" shrinkToFit="0" wrapText="1"/>
    </xf>
    <xf borderId="4" fillId="2" fontId="8" numFmtId="0" xfId="0" applyAlignment="1" applyBorder="1" applyFont="1">
      <alignment horizontal="center" shrinkToFit="0" wrapText="1"/>
    </xf>
    <xf borderId="4" fillId="2" fontId="8" numFmtId="164" xfId="0" applyAlignment="1" applyBorder="1" applyFont="1" applyNumberFormat="1">
      <alignment horizontal="center" shrinkToFit="0" wrapText="1"/>
    </xf>
    <xf borderId="4" fillId="2" fontId="8" numFmtId="165" xfId="0" applyAlignment="1" applyBorder="1" applyFont="1" applyNumberFormat="1">
      <alignment horizontal="center" shrinkToFit="0" wrapText="1"/>
    </xf>
    <xf borderId="0" fillId="0" fontId="2" numFmtId="0" xfId="0" applyFont="1"/>
    <xf borderId="0" fillId="0" fontId="2" numFmtId="166" xfId="0" applyFont="1" applyNumberFormat="1"/>
    <xf borderId="0" fillId="0" fontId="2" numFmtId="3" xfId="0" applyFont="1" applyNumberFormat="1"/>
    <xf borderId="3" fillId="3" fontId="9" numFmtId="0" xfId="0" applyAlignment="1" applyBorder="1" applyFont="1">
      <alignment horizontal="center" vertical="bottom"/>
    </xf>
    <xf borderId="4" fillId="3" fontId="9" numFmtId="0" xfId="0" applyAlignment="1" applyBorder="1" applyFont="1">
      <alignment shrinkToFit="0" vertical="bottom" wrapText="1"/>
    </xf>
    <xf borderId="7" fillId="3" fontId="1" numFmtId="164" xfId="0" applyAlignment="1" applyBorder="1" applyFont="1" applyNumberForma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0" fillId="0" fontId="9" numFmtId="166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10" fillId="0" fontId="6" numFmtId="0" xfId="0" applyBorder="1" applyFont="1"/>
    <xf borderId="11" fillId="0" fontId="6" numFmtId="0" xfId="0" applyBorder="1" applyFont="1"/>
    <xf borderId="6" fillId="0" fontId="6" numFmtId="0" xfId="0" applyBorder="1" applyFont="1"/>
    <xf borderId="4" fillId="0" fontId="6" numFmtId="0" xfId="0" applyBorder="1" applyFont="1"/>
    <xf borderId="4" fillId="3" fontId="9" numFmtId="164" xfId="0" applyAlignment="1" applyBorder="1" applyFont="1" applyNumberFormat="1">
      <alignment vertical="bottom"/>
    </xf>
    <xf borderId="6" fillId="2" fontId="10" numFmtId="0" xfId="0" applyAlignment="1" applyBorder="1" applyFont="1">
      <alignment horizontal="center" vertical="bottom"/>
    </xf>
    <xf borderId="4" fillId="2" fontId="10" numFmtId="0" xfId="0" applyAlignment="1" applyBorder="1" applyFont="1">
      <alignment horizontal="center" vertical="bottom"/>
    </xf>
    <xf borderId="6" fillId="4" fontId="10" numFmtId="0" xfId="0" applyAlignment="1" applyBorder="1" applyFill="1" applyFont="1">
      <alignment horizontal="center" vertical="bottom"/>
    </xf>
    <xf borderId="2" fillId="4" fontId="10" numFmtId="164" xfId="0" applyAlignment="1" applyBorder="1" applyFont="1" applyNumberFormat="1">
      <alignment horizontal="center" vertical="bottom"/>
    </xf>
    <xf borderId="4" fillId="4" fontId="10" numFmtId="0" xfId="0" applyAlignment="1" applyBorder="1" applyFont="1">
      <alignment horizontal="center" vertical="bottom"/>
    </xf>
    <xf borderId="4" fillId="4" fontId="10" numFmtId="164" xfId="0" applyAlignment="1" applyBorder="1" applyFont="1" applyNumberFormat="1">
      <alignment horizontal="center" vertical="bottom"/>
    </xf>
    <xf borderId="11" fillId="4" fontId="10" numFmtId="164" xfId="0" applyAlignment="1" applyBorder="1" applyFont="1" applyNumberFormat="1">
      <alignment horizontal="center" vertical="bottom"/>
    </xf>
    <xf borderId="11" fillId="4" fontId="10" numFmtId="0" xfId="0" applyAlignment="1" applyBorder="1" applyFont="1">
      <alignment vertical="bottom"/>
    </xf>
    <xf borderId="0" fillId="0" fontId="5" numFmtId="0" xfId="0" applyFont="1"/>
    <xf borderId="0" fillId="0" fontId="5" numFmtId="164" xfId="0" applyFont="1" applyNumberFormat="1"/>
    <xf borderId="1" fillId="3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vertical="bottom"/>
    </xf>
    <xf borderId="1" fillId="0" fontId="5" numFmtId="164" xfId="0" applyBorder="1" applyFont="1" applyNumberFormat="1"/>
    <xf borderId="12" fillId="0" fontId="9" numFmtId="0" xfId="0" applyAlignment="1" applyBorder="1" applyFont="1">
      <alignment vertical="bottom"/>
    </xf>
    <xf borderId="13" fillId="0" fontId="6" numFmtId="0" xfId="0" applyBorder="1" applyFont="1"/>
    <xf borderId="14" fillId="0" fontId="9" numFmtId="165" xfId="0" applyAlignment="1" applyBorder="1" applyFont="1" applyNumberFormat="1">
      <alignment vertical="bottom"/>
    </xf>
    <xf borderId="15" fillId="0" fontId="6" numFmtId="0" xfId="0" applyBorder="1" applyFont="1"/>
    <xf borderId="0" fillId="0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2" numFmtId="165" xfId="0" applyAlignment="1" applyFont="1" applyNumberFormat="1">
      <alignment horizontal="left" readingOrder="0" vertical="bottom"/>
    </xf>
    <xf borderId="0" fillId="3" fontId="2" numFmtId="165" xfId="0" applyAlignment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readingOrder="0" vertical="bottom"/>
    </xf>
    <xf borderId="0" fillId="0" fontId="13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3" width="16.86"/>
    <col customWidth="1" min="4" max="4" width="20.43"/>
    <col customWidth="1" min="5" max="5" width="19.86"/>
    <col customWidth="1" min="6" max="6" width="19.0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>
        <v>1.0</v>
      </c>
      <c r="B14" s="22" t="s">
        <v>13</v>
      </c>
      <c r="C14" s="23">
        <v>6000000.0</v>
      </c>
      <c r="D14" s="24">
        <v>45555.0</v>
      </c>
      <c r="E14" s="25">
        <v>6000000.0</v>
      </c>
      <c r="F14" s="23">
        <f t="shared" ref="F14:F16" si="1">C14-E14</f>
        <v>0</v>
      </c>
      <c r="G14" s="26" t="str">
        <f>if(E14&gt;=C14,"Lunas","Tunggakan")</f>
        <v>Lunas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>
        <v>2.0</v>
      </c>
      <c r="B15" s="29" t="s">
        <v>14</v>
      </c>
      <c r="C15" s="30">
        <v>6000000.0</v>
      </c>
      <c r="D15" s="31">
        <v>45708.0</v>
      </c>
      <c r="E15" s="30">
        <v>6000000.0</v>
      </c>
      <c r="F15" s="32">
        <f t="shared" si="1"/>
        <v>0</v>
      </c>
      <c r="G15" s="33" t="s">
        <v>15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5"/>
      <c r="W15" s="35"/>
      <c r="X15" s="35"/>
      <c r="Y15" s="35"/>
      <c r="Z15" s="35"/>
    </row>
    <row r="16">
      <c r="A16" s="28">
        <v>3.0</v>
      </c>
      <c r="B16" s="29" t="s">
        <v>16</v>
      </c>
      <c r="C16" s="30">
        <v>6000000.0</v>
      </c>
      <c r="D16" s="31">
        <v>45902.0</v>
      </c>
      <c r="E16" s="30">
        <v>6000000.0</v>
      </c>
      <c r="F16" s="32">
        <f t="shared" si="1"/>
        <v>0</v>
      </c>
      <c r="G16" s="33" t="s">
        <v>15</v>
      </c>
      <c r="H16" s="34"/>
      <c r="I16" s="36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7"/>
      <c r="B17" s="38"/>
      <c r="C17" s="39"/>
      <c r="D17" s="40"/>
      <c r="E17" s="39"/>
      <c r="F17" s="39"/>
      <c r="G17" s="41"/>
      <c r="H17" s="34"/>
      <c r="I17" s="36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42" t="s">
        <v>17</v>
      </c>
      <c r="B18" s="43"/>
      <c r="C18" s="44">
        <f>sum(C14:C17)</f>
        <v>18000000</v>
      </c>
      <c r="D18" s="45"/>
      <c r="E18" s="45">
        <f t="shared" ref="E18:F18" si="2">SUM(E14:E17)</f>
        <v>18000000</v>
      </c>
      <c r="F18" s="45">
        <f t="shared" si="2"/>
        <v>0</v>
      </c>
      <c r="G18" s="46"/>
      <c r="H18" s="47"/>
      <c r="I18" s="47"/>
      <c r="J18" s="47"/>
      <c r="K18" s="48"/>
      <c r="L18" s="49"/>
      <c r="M18" s="49"/>
      <c r="N18" s="49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50"/>
      <c r="B19" s="50"/>
      <c r="C19" s="3"/>
      <c r="D19" s="4"/>
      <c r="E19" s="3"/>
      <c r="F19" s="3"/>
      <c r="G19" s="2"/>
      <c r="H19" s="2"/>
      <c r="I19" s="2"/>
      <c r="J19" s="2"/>
      <c r="K19" s="5"/>
      <c r="L19" s="6"/>
      <c r="M19" s="6"/>
      <c r="N19" s="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1" t="s">
        <v>18</v>
      </c>
      <c r="B20" s="2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/>
      <c r="B21" s="13"/>
      <c r="C21" s="14"/>
      <c r="D21" s="15"/>
      <c r="E21" s="14"/>
      <c r="F21" s="14"/>
      <c r="G21" s="13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2" t="s">
        <v>7</v>
      </c>
      <c r="B22" s="53" t="s">
        <v>8</v>
      </c>
      <c r="C22" s="54" t="s">
        <v>9</v>
      </c>
      <c r="D22" s="55" t="s">
        <v>10</v>
      </c>
      <c r="E22" s="54" t="s">
        <v>11</v>
      </c>
      <c r="F22" s="54" t="s">
        <v>12</v>
      </c>
      <c r="G22" s="53" t="s">
        <v>8</v>
      </c>
      <c r="H22" s="56"/>
      <c r="I22" s="56"/>
      <c r="J22" s="56"/>
      <c r="K22" s="57"/>
      <c r="L22" s="58"/>
      <c r="M22" s="58"/>
      <c r="N22" s="58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9">
        <v>1.0</v>
      </c>
      <c r="B23" s="60" t="s">
        <v>19</v>
      </c>
      <c r="C23" s="61" t="s">
        <v>20</v>
      </c>
      <c r="D23" s="62"/>
      <c r="E23" s="62"/>
      <c r="F23" s="62"/>
      <c r="G23" s="63"/>
      <c r="H23" s="34"/>
      <c r="I23" s="34"/>
      <c r="J23" s="34"/>
      <c r="K23" s="64"/>
      <c r="L23" s="65"/>
      <c r="M23" s="65"/>
      <c r="N23" s="65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59">
        <v>2.0</v>
      </c>
      <c r="B24" s="38" t="s">
        <v>21</v>
      </c>
      <c r="C24" s="66"/>
      <c r="G24" s="67"/>
      <c r="H24" s="34"/>
      <c r="I24" s="34"/>
      <c r="J24" s="34"/>
      <c r="K24" s="64"/>
      <c r="L24" s="65"/>
      <c r="M24" s="65"/>
      <c r="N24" s="6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59">
        <v>3.0</v>
      </c>
      <c r="B25" s="60" t="s">
        <v>22</v>
      </c>
      <c r="C25" s="68"/>
      <c r="D25" s="43"/>
      <c r="E25" s="43"/>
      <c r="F25" s="43"/>
      <c r="G25" s="69"/>
      <c r="H25" s="34"/>
      <c r="I25" s="34"/>
      <c r="J25" s="34"/>
      <c r="K25" s="64"/>
      <c r="L25" s="65"/>
      <c r="M25" s="65"/>
      <c r="N25" s="6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59">
        <v>4.0</v>
      </c>
      <c r="B26" s="60" t="s">
        <v>23</v>
      </c>
      <c r="C26" s="39"/>
      <c r="D26" s="40"/>
      <c r="E26" s="39"/>
      <c r="F26" s="70"/>
      <c r="G26" s="38"/>
      <c r="H26" s="34"/>
      <c r="I26" s="34"/>
      <c r="J26" s="34"/>
      <c r="K26" s="64"/>
      <c r="L26" s="65"/>
      <c r="M26" s="65"/>
      <c r="N26" s="65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71" t="s">
        <v>24</v>
      </c>
      <c r="B27" s="43"/>
      <c r="C27" s="44">
        <f>sUM(C23:C26)</f>
        <v>0</v>
      </c>
      <c r="D27" s="72"/>
      <c r="E27" s="45">
        <f>sum(E23:E26)</f>
        <v>0</v>
      </c>
      <c r="F27" s="45">
        <f>SUM(F23:F26)</f>
        <v>0</v>
      </c>
      <c r="G27" s="46"/>
      <c r="H27" s="47"/>
      <c r="I27" s="47"/>
      <c r="J27" s="47"/>
      <c r="K27" s="48"/>
      <c r="L27" s="49"/>
      <c r="M27" s="49"/>
      <c r="N27" s="49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>
      <c r="A28" s="73" t="s">
        <v>25</v>
      </c>
      <c r="B28" s="43"/>
      <c r="C28" s="74">
        <f>C18+C27</f>
        <v>18000000</v>
      </c>
      <c r="D28" s="75"/>
      <c r="E28" s="76">
        <f>E27+E18</f>
        <v>18000000</v>
      </c>
      <c r="F28" s="77">
        <f>F18+F27</f>
        <v>0</v>
      </c>
      <c r="G28" s="78"/>
      <c r="H28" s="47"/>
      <c r="I28" s="47"/>
      <c r="J28" s="47"/>
      <c r="K28" s="48"/>
      <c r="L28" s="49"/>
      <c r="M28" s="49"/>
      <c r="N28" s="49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>
      <c r="A29" s="50"/>
      <c r="B29" s="79"/>
      <c r="E29" s="3"/>
      <c r="F29" s="80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1"/>
      <c r="B30" s="9"/>
      <c r="C30" s="10"/>
      <c r="D30" s="10"/>
      <c r="E30" s="82"/>
      <c r="F30" s="83"/>
      <c r="G30" s="10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4" t="s">
        <v>26</v>
      </c>
      <c r="G31" s="85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4" t="s">
        <v>27</v>
      </c>
      <c r="G32" s="85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4" t="s">
        <v>28</v>
      </c>
      <c r="G33" s="85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6" t="s">
        <v>29</v>
      </c>
      <c r="B34" s="10"/>
      <c r="C34" s="10"/>
      <c r="D34" s="10"/>
      <c r="E34" s="10"/>
      <c r="F34" s="10"/>
      <c r="G34" s="87"/>
      <c r="H34" s="88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"/>
      <c r="B35" s="2"/>
      <c r="C35" s="3"/>
      <c r="D35" s="4"/>
      <c r="E35" s="3"/>
      <c r="F35" s="89" t="s">
        <v>30</v>
      </c>
      <c r="G35" s="90">
        <v>45902.0</v>
      </c>
      <c r="H35" s="91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5.25" customHeight="1">
      <c r="A36" s="2"/>
      <c r="B36" s="3"/>
      <c r="C36" s="3"/>
      <c r="D36" s="4"/>
      <c r="E36" s="3"/>
      <c r="F36" s="92" t="s">
        <v>31</v>
      </c>
      <c r="H36" s="3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92" t="s">
        <v>32</v>
      </c>
      <c r="D37" s="4"/>
      <c r="E37" s="3"/>
      <c r="F37" s="92" t="s">
        <v>33</v>
      </c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4"/>
      <c r="E38" s="3"/>
      <c r="F38" s="3"/>
      <c r="G38" s="88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2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80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3"/>
      <c r="C41" s="3"/>
      <c r="D41" s="4"/>
      <c r="E41" s="3"/>
      <c r="F41" s="3"/>
      <c r="G41" s="3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93" t="s">
        <v>34</v>
      </c>
      <c r="C42" s="10"/>
      <c r="D42" s="4"/>
      <c r="E42" s="3"/>
      <c r="F42" s="94" t="s">
        <v>35</v>
      </c>
      <c r="G42" s="10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95" t="s">
        <v>36</v>
      </c>
      <c r="D43" s="4"/>
      <c r="E43" s="3"/>
      <c r="F43" s="92" t="s">
        <v>37</v>
      </c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80"/>
      <c r="G44" s="2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79"/>
      <c r="D45" s="4"/>
      <c r="E45" s="80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3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0">
    <mergeCell ref="C2:G2"/>
    <mergeCell ref="C4:G4"/>
    <mergeCell ref="A5:G5"/>
    <mergeCell ref="A7:H7"/>
    <mergeCell ref="A8:H8"/>
    <mergeCell ref="A9:H9"/>
    <mergeCell ref="A10:G10"/>
    <mergeCell ref="A18:B18"/>
    <mergeCell ref="C23:G25"/>
    <mergeCell ref="A27:B27"/>
    <mergeCell ref="A28:B28"/>
    <mergeCell ref="B29:D29"/>
    <mergeCell ref="F29:G29"/>
    <mergeCell ref="F30:G30"/>
    <mergeCell ref="B30:D30"/>
    <mergeCell ref="A31:G31"/>
    <mergeCell ref="A32:G32"/>
    <mergeCell ref="A33:G33"/>
    <mergeCell ref="A34:G34"/>
    <mergeCell ref="F36:G36"/>
    <mergeCell ref="B37:C37"/>
    <mergeCell ref="B45:C45"/>
    <mergeCell ref="E45:G45"/>
    <mergeCell ref="F37:G37"/>
    <mergeCell ref="F40:G40"/>
    <mergeCell ref="B42:C42"/>
    <mergeCell ref="F42:G42"/>
    <mergeCell ref="B43:C43"/>
    <mergeCell ref="F43:G43"/>
    <mergeCell ref="E44:F44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