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RWN4KqGunXAowgPZLesksS0krds5F2EFH9DTry49fc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6">
      <text>
        <t xml:space="preserve">======
ID#AAABH-X_s7g
MBC Consulting    (2024-03-21 01:25:18)
pengajuan beasiswa ke pak rektor dan di acc sebesar 50% dari biaya sk 2023 (8.000.000)</t>
      </text>
    </comment>
    <comment authorId="0" ref="C14">
      <text>
        <t xml:space="preserve">======
ID#AAABH-X_s7c
MBC Consulting    (2024-03-21 01:24:49)
pengajuan beasiswa ke pak rektor dan di acc sebesar 50% dari biaya sk 2023 (5.500.000) hanya berlaku 1 semester</t>
      </text>
    </comment>
  </commentList>
  <extLst>
    <ext uri="GoogleSheetsCustomDataVersion2">
      <go:sheetsCustomData xmlns:go="http://customooxmlschemas.google.com/" r:id="rId1" roundtripDataSignature="AMtx7mhOlSE+d5svHgSxv9W+GfxbEQNaBw=="/>
    </ext>
  </extLst>
</comments>
</file>

<file path=xl/sharedStrings.xml><?xml version="1.0" encoding="utf-8"?>
<sst xmlns="http://schemas.openxmlformats.org/spreadsheetml/2006/main" count="49" uniqueCount="39">
  <si>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</si>
  <si>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</si>
  <si>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</si>
  <si>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240030015</t>
  </si>
  <si>
    <t>Nama     : Kayla Tatit Christie Batista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</si>
  <si>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</si>
  <si>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</si>
  <si>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</si>
  <si>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</si>
  <si>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</si>
  <si>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</si>
  <si>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</si>
  <si>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</si>
  <si>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2024/2025</t>
  </si>
  <si>
    <t xml:space="preserve">Lunas </t>
  </si>
  <si>
    <t>Genap 2024/2025</t>
  </si>
  <si>
    <t>Ganjil 2025/2026</t>
  </si>
  <si>
    <t xml:space="preserve">Tunggakan 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</si>
  <si>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</si>
  <si>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</si>
  <si>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</si>
  <si>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Lunas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</si>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</sst>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sz val="16.0"/>
      <color rgb="FF000000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6" fillId="3" fontId="9" numFmtId="0" xfId="0" applyAlignment="1" applyBorder="1" applyFill="1" applyFont="1">
      <alignment horizontal="left" readingOrder="0" shrinkToFit="0" vertical="center" wrapText="1"/>
    </xf>
    <xf borderId="6" fillId="0" fontId="9" numFmtId="164" xfId="0" applyAlignment="1" applyBorder="1" applyFont="1" applyNumberFormat="1">
      <alignment horizontal="right" readingOrder="0" vertical="center"/>
    </xf>
    <xf borderId="4" fillId="0" fontId="9" numFmtId="166" xfId="0" applyAlignment="1" applyBorder="1" applyFont="1" applyNumberFormat="1">
      <alignment horizontal="right" readingOrder="0" vertical="center"/>
    </xf>
    <xf borderId="4" fillId="0" fontId="9" numFmtId="164" xfId="0" applyAlignment="1" applyBorder="1" applyFont="1" applyNumberFormat="1">
      <alignment horizontal="right" readingOrder="0" vertical="center"/>
    </xf>
    <xf borderId="6" fillId="0" fontId="9" numFmtId="164" xfId="0" applyAlignment="1" applyBorder="1" applyFont="1" applyNumberFormat="1">
      <alignment horizontal="right" vertical="center"/>
    </xf>
    <xf borderId="6" fillId="0" fontId="9" numFmtId="0" xfId="0" applyAlignment="1" applyBorder="1" applyFont="1">
      <alignment horizontal="center" readingOrder="0" shrinkToFit="0" vertical="center" wrapText="1"/>
    </xf>
    <xf borderId="0" fillId="0" fontId="2" numFmtId="167" xfId="0" applyAlignment="1" applyFont="1" applyNumberFormat="1">
      <alignment vertical="center"/>
    </xf>
    <xf borderId="3" fillId="0" fontId="6" numFmtId="0" xfId="0" applyBorder="1" applyFont="1"/>
    <xf borderId="4" fillId="0" fontId="6" numFmtId="0" xfId="0" applyBorder="1" applyFont="1"/>
    <xf borderId="6" fillId="0" fontId="9" numFmtId="166" xfId="0" applyAlignment="1" applyBorder="1" applyFont="1" applyNumberFormat="1">
      <alignment readingOrder="0" vertical="center"/>
    </xf>
    <xf borderId="4" fillId="0" fontId="9" numFmtId="164" xfId="0" applyAlignment="1" applyBorder="1" applyFont="1" applyNumberFormat="1">
      <alignment readingOrder="0" vertical="center"/>
    </xf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left" readingOrder="0" vertical="center"/>
    </xf>
    <xf borderId="4" fillId="0" fontId="9" numFmtId="164" xfId="0" applyAlignment="1" applyBorder="1" applyFont="1" applyNumberFormat="1">
      <alignment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165" xfId="0" applyAlignment="1" applyBorder="1" applyFont="1" applyNumberFormat="1">
      <alignment readingOrder="0"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horizontal="center" vertical="center"/>
    </xf>
    <xf borderId="7" fillId="2" fontId="8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8" numFmtId="164" xfId="0" applyAlignment="1" applyBorder="1" applyFont="1" applyNumberFormat="1">
      <alignment horizontal="center" vertical="center"/>
    </xf>
    <xf borderId="4" fillId="2" fontId="8" numFmtId="164" xfId="0" applyAlignment="1" applyBorder="1" applyFont="1" applyNumberFormat="1">
      <alignment horizontal="center" vertical="center"/>
    </xf>
    <xf borderId="4" fillId="2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166" xfId="0" applyAlignment="1" applyFont="1" applyNumberFormat="1">
      <alignment vertical="center"/>
    </xf>
    <xf borderId="0" fillId="0" fontId="8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0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4" fillId="0" fontId="9" numFmtId="164" xfId="0" applyAlignment="1" applyBorder="1" applyFont="1" applyNumberFormat="1">
      <alignment horizontal="right" vertical="center"/>
    </xf>
    <xf borderId="4" fillId="0" fontId="9" numFmtId="165" xfId="0" applyAlignment="1" applyBorder="1" applyFont="1" applyNumberFormat="1">
      <alignment horizontal="right" readingOrder="0" vertical="center"/>
    </xf>
    <xf borderId="4" fillId="3" fontId="9" numFmtId="164" xfId="0" applyAlignment="1" applyBorder="1" applyFont="1" applyNumberFormat="1">
      <alignment horizontal="right" vertical="center"/>
    </xf>
    <xf borderId="4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readingOrder="0" vertical="center"/>
    </xf>
    <xf borderId="4" fillId="3" fontId="9" numFmtId="164" xfId="0" applyAlignment="1" applyBorder="1" applyFont="1" applyNumberFormat="1">
      <alignment vertical="center"/>
    </xf>
    <xf borderId="7" fillId="2" fontId="8" numFmtId="0" xfId="0" applyAlignment="1" applyBorder="1" applyFont="1">
      <alignment horizontal="center" vertical="center"/>
    </xf>
    <xf borderId="4" fillId="2" fontId="8" numFmtId="0" xfId="0" applyAlignment="1" applyBorder="1" applyFont="1">
      <alignment horizontal="center" vertical="center"/>
    </xf>
    <xf borderId="7" fillId="4" fontId="11" numFmtId="0" xfId="0" applyAlignment="1" applyBorder="1" applyFill="1" applyFont="1">
      <alignment horizontal="center" vertical="center"/>
    </xf>
    <xf borderId="2" fillId="4" fontId="11" numFmtId="164" xfId="0" applyAlignment="1" applyBorder="1" applyFont="1" applyNumberFormat="1">
      <alignment horizontal="center" vertical="center"/>
    </xf>
    <xf borderId="4" fillId="4" fontId="11" numFmtId="0" xfId="0" applyAlignment="1" applyBorder="1" applyFont="1">
      <alignment horizontal="center" vertical="center"/>
    </xf>
    <xf borderId="4" fillId="4" fontId="11" numFmtId="164" xfId="0" applyAlignment="1" applyBorder="1" applyFont="1" applyNumberFormat="1">
      <alignment horizontal="center" vertical="center"/>
    </xf>
    <xf borderId="6" fillId="4" fontId="11" numFmtId="164" xfId="0" applyAlignment="1" applyBorder="1" applyFont="1" applyNumberFormat="1">
      <alignment horizontal="center" vertical="center"/>
    </xf>
    <xf borderId="6" fillId="4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2" numFmtId="166" xfId="0" applyAlignment="1" applyFont="1" applyNumberFormat="1">
      <alignment vertical="center"/>
    </xf>
    <xf borderId="0" fillId="0" fontId="12" numFmtId="3" xfId="0" applyAlignment="1" applyFont="1" applyNumberForma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8" fillId="0" fontId="9" numFmtId="0" xfId="0" applyAlignment="1" applyBorder="1" applyFont="1">
      <alignment vertical="center"/>
    </xf>
    <xf borderId="9" fillId="0" fontId="6" numFmtId="0" xfId="0" applyBorder="1" applyFont="1"/>
    <xf borderId="10" fillId="0" fontId="9" numFmtId="165" xfId="0" applyAlignment="1" applyBorder="1" applyFont="1" applyNumberFormat="1">
      <alignment vertical="center"/>
    </xf>
    <xf borderId="11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3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4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18.29"/>
    <col customWidth="1" min="4" max="4" width="16.86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</v>
      </c>
      <c r="B12" s="14"/>
      <c r="C12" s="15"/>
      <c r="D12" s="16"/>
      <c r="E12" s="15"/>
      <c r="F12" s="15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v>1.0</v>
      </c>
      <c r="B14" s="22" t="s">
        <v>13</v>
      </c>
      <c r="C14" s="23">
        <v>2750000.0</v>
      </c>
      <c r="D14" s="24">
        <v>45432.0</v>
      </c>
      <c r="E14" s="25">
        <v>1100000.0</v>
      </c>
      <c r="F14" s="26">
        <f>C14-E14-E15</f>
        <v>0</v>
      </c>
      <c r="G14" s="27" t="s">
        <v>14</v>
      </c>
      <c r="H14" s="2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9"/>
      <c r="B15" s="30"/>
      <c r="C15" s="30"/>
      <c r="D15" s="31">
        <v>45698.0</v>
      </c>
      <c r="E15" s="32">
        <v>1650000.0</v>
      </c>
      <c r="F15" s="30"/>
      <c r="G15" s="30"/>
      <c r="H15" s="2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3">
        <v>2.0</v>
      </c>
      <c r="B16" s="34" t="s">
        <v>15</v>
      </c>
      <c r="C16" s="32">
        <v>2750000.0</v>
      </c>
      <c r="D16" s="30"/>
      <c r="E16" s="35">
        <f>4400000-1650000</f>
        <v>2750000</v>
      </c>
      <c r="F16" s="32">
        <f t="shared" ref="F16:F17" si="1">C16-E16</f>
        <v>0</v>
      </c>
      <c r="G16" s="36" t="s">
        <v>14</v>
      </c>
      <c r="H16" s="2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3">
        <v>3.0</v>
      </c>
      <c r="B17" s="34" t="s">
        <v>16</v>
      </c>
      <c r="C17" s="32">
        <v>2750000.0</v>
      </c>
      <c r="D17" s="37">
        <v>45910.0</v>
      </c>
      <c r="E17" s="32">
        <v>2750000.0</v>
      </c>
      <c r="F17" s="35">
        <f t="shared" si="1"/>
        <v>0</v>
      </c>
      <c r="G17" s="36" t="s">
        <v>17</v>
      </c>
      <c r="H17" s="2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8"/>
      <c r="B18" s="39"/>
      <c r="C18" s="35"/>
      <c r="D18" s="40"/>
      <c r="E18" s="35"/>
      <c r="F18" s="35"/>
      <c r="G18" s="41"/>
      <c r="H18" s="2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2" t="s">
        <v>18</v>
      </c>
      <c r="B19" s="43"/>
      <c r="C19" s="44">
        <f>sum(C14:C18)</f>
        <v>8250000</v>
      </c>
      <c r="D19" s="45"/>
      <c r="E19" s="45">
        <f t="shared" ref="E19:F19" si="2">SUM(E14:E18)</f>
        <v>8250000</v>
      </c>
      <c r="F19" s="45">
        <f t="shared" si="2"/>
        <v>0</v>
      </c>
      <c r="G19" s="46"/>
      <c r="H19" s="47"/>
      <c r="I19" s="47"/>
      <c r="J19" s="47"/>
      <c r="K19" s="48"/>
      <c r="L19" s="49"/>
      <c r="M19" s="49"/>
      <c r="N19" s="49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50"/>
      <c r="B20" s="50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1" t="s">
        <v>19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4"/>
      <c r="B22" s="14"/>
      <c r="C22" s="15"/>
      <c r="D22" s="16"/>
      <c r="E22" s="15"/>
      <c r="F22" s="15"/>
      <c r="G22" s="14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">
        <v>7</v>
      </c>
      <c r="B23" s="18" t="s">
        <v>8</v>
      </c>
      <c r="C23" s="19" t="s">
        <v>9</v>
      </c>
      <c r="D23" s="20" t="s">
        <v>10</v>
      </c>
      <c r="E23" s="19" t="s">
        <v>11</v>
      </c>
      <c r="F23" s="19" t="s">
        <v>12</v>
      </c>
      <c r="G23" s="18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2">
        <v>1.0</v>
      </c>
      <c r="B24" s="53" t="s">
        <v>20</v>
      </c>
      <c r="C24" s="54">
        <v>300000.0</v>
      </c>
      <c r="D24" s="55">
        <v>45289.0</v>
      </c>
      <c r="E24" s="56">
        <v>300000.0</v>
      </c>
      <c r="F24" s="56">
        <f>C24-E24</f>
        <v>0</v>
      </c>
      <c r="G24" s="57" t="s">
        <v>21</v>
      </c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2">
        <v>2.0</v>
      </c>
      <c r="B25" s="39" t="s">
        <v>22</v>
      </c>
      <c r="C25" s="25">
        <v>1350000.0</v>
      </c>
      <c r="D25" s="55">
        <v>45910.0</v>
      </c>
      <c r="E25" s="25">
        <v>1350000.0</v>
      </c>
      <c r="F25" s="56">
        <f>C25-E24:E25</f>
        <v>0</v>
      </c>
      <c r="G25" s="58" t="s">
        <v>14</v>
      </c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2">
        <v>3.0</v>
      </c>
      <c r="B26" s="53" t="s">
        <v>23</v>
      </c>
      <c r="C26" s="25">
        <v>4000000.0</v>
      </c>
      <c r="D26" s="55">
        <v>45308.0</v>
      </c>
      <c r="E26" s="25">
        <v>1000000.0</v>
      </c>
      <c r="F26" s="56">
        <f>C26-E26-E27</f>
        <v>100000</v>
      </c>
      <c r="G26" s="57" t="str">
        <f>if(F26&gt;0,"Tunggakan","Lunas")</f>
        <v>Tunggakan</v>
      </c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2"/>
      <c r="B27" s="53"/>
      <c r="C27" s="35"/>
      <c r="D27" s="37">
        <v>45910.0</v>
      </c>
      <c r="E27" s="32">
        <v>2900000.0</v>
      </c>
      <c r="F27" s="59"/>
      <c r="G27" s="57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2">
        <v>4.0</v>
      </c>
      <c r="B28" s="53" t="s">
        <v>24</v>
      </c>
      <c r="C28" s="35"/>
      <c r="D28" s="40"/>
      <c r="E28" s="35"/>
      <c r="F28" s="59"/>
      <c r="G28" s="57"/>
      <c r="H28" s="2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0" t="s">
        <v>25</v>
      </c>
      <c r="B29" s="43"/>
      <c r="C29" s="44">
        <f>sum(C24:C28)</f>
        <v>5650000</v>
      </c>
      <c r="D29" s="61"/>
      <c r="E29" s="45">
        <f>sum(E24:E28)</f>
        <v>5550000</v>
      </c>
      <c r="F29" s="45">
        <f>SUM(F24:F28)</f>
        <v>100000</v>
      </c>
      <c r="G29" s="46"/>
      <c r="H29" s="47"/>
      <c r="I29" s="47"/>
      <c r="J29" s="47"/>
      <c r="K29" s="48"/>
      <c r="L29" s="49"/>
      <c r="M29" s="49"/>
      <c r="N29" s="49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>
      <c r="A30" s="62" t="s">
        <v>26</v>
      </c>
      <c r="B30" s="43"/>
      <c r="C30" s="63">
        <f>C19+C29</f>
        <v>13900000</v>
      </c>
      <c r="D30" s="64"/>
      <c r="E30" s="65">
        <f>E29+E19</f>
        <v>13800000</v>
      </c>
      <c r="F30" s="66">
        <f>F19+F29</f>
        <v>100000</v>
      </c>
      <c r="G30" s="67"/>
      <c r="H30" s="68"/>
      <c r="I30" s="68"/>
      <c r="J30" s="68"/>
      <c r="K30" s="69"/>
      <c r="L30" s="70"/>
      <c r="M30" s="70"/>
      <c r="N30" s="70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50"/>
      <c r="B31" s="71"/>
      <c r="E31" s="3"/>
      <c r="F31" s="71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2"/>
      <c r="B32" s="9"/>
      <c r="C32" s="10"/>
      <c r="D32" s="10"/>
      <c r="E32" s="73"/>
      <c r="F32" s="9"/>
      <c r="G32" s="10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4" t="s">
        <v>27</v>
      </c>
      <c r="G33" s="75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4" t="s">
        <v>28</v>
      </c>
      <c r="G34" s="75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4" t="s">
        <v>29</v>
      </c>
      <c r="G35" s="75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6" t="s">
        <v>30</v>
      </c>
      <c r="B36" s="10"/>
      <c r="C36" s="10"/>
      <c r="D36" s="10"/>
      <c r="E36" s="10"/>
      <c r="F36" s="10"/>
      <c r="G36" s="77"/>
      <c r="H36" s="4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7.5" customHeight="1">
      <c r="A37" s="2"/>
      <c r="B37" s="2"/>
      <c r="C37" s="3"/>
      <c r="D37" s="4"/>
      <c r="E37" s="3"/>
      <c r="F37" s="78" t="s">
        <v>31</v>
      </c>
      <c r="G37" s="79">
        <v>45910.0</v>
      </c>
      <c r="H37" s="80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5.25" customHeight="1">
      <c r="A38" s="2"/>
      <c r="B38" s="3"/>
      <c r="C38" s="3"/>
      <c r="D38" s="4"/>
      <c r="E38" s="3"/>
      <c r="F38" s="81" t="s">
        <v>32</v>
      </c>
      <c r="H38" s="3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81" t="s">
        <v>33</v>
      </c>
      <c r="D39" s="4"/>
      <c r="E39" s="3"/>
      <c r="F39" s="81" t="s">
        <v>34</v>
      </c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4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3"/>
      <c r="G41" s="2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F42" s="71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3"/>
      <c r="C43" s="3"/>
      <c r="D43" s="4"/>
      <c r="E43" s="3"/>
      <c r="F43" s="3"/>
      <c r="G43" s="3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82" t="s">
        <v>35</v>
      </c>
      <c r="C44" s="10"/>
      <c r="D44" s="4"/>
      <c r="E44" s="3"/>
      <c r="F44" s="83" t="s">
        <v>36</v>
      </c>
      <c r="G44" s="10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84" t="s">
        <v>37</v>
      </c>
      <c r="D45" s="4"/>
      <c r="E45" s="3"/>
      <c r="F45" s="85" t="s">
        <v>38</v>
      </c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71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71"/>
      <c r="D47" s="4"/>
      <c r="E47" s="71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2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5">
    <mergeCell ref="C2:G2"/>
    <mergeCell ref="C4:G4"/>
    <mergeCell ref="A5:G5"/>
    <mergeCell ref="A7:H7"/>
    <mergeCell ref="A8:H8"/>
    <mergeCell ref="A9:H9"/>
    <mergeCell ref="A10:G10"/>
    <mergeCell ref="A14:A15"/>
    <mergeCell ref="B14:B15"/>
    <mergeCell ref="C14:C15"/>
    <mergeCell ref="F14:F15"/>
    <mergeCell ref="G14:G15"/>
    <mergeCell ref="D15:D16"/>
    <mergeCell ref="A19:B19"/>
    <mergeCell ref="A29:B29"/>
    <mergeCell ref="A30:B30"/>
    <mergeCell ref="B31:D31"/>
    <mergeCell ref="F31:G31"/>
    <mergeCell ref="B32:D32"/>
    <mergeCell ref="F32:G32"/>
    <mergeCell ref="A33:G33"/>
    <mergeCell ref="B44:C44"/>
    <mergeCell ref="F44:G44"/>
    <mergeCell ref="B45:C45"/>
    <mergeCell ref="F45:G45"/>
    <mergeCell ref="E46:F46"/>
    <mergeCell ref="B47:C47"/>
    <mergeCell ref="E47:G47"/>
    <mergeCell ref="A34:G34"/>
    <mergeCell ref="A35:G35"/>
    <mergeCell ref="A36:G36"/>
    <mergeCell ref="F38:G38"/>
    <mergeCell ref="B39:C39"/>
    <mergeCell ref="F39:G39"/>
    <mergeCell ref="F42:G42"/>
  </mergeCells>
  <printOptions horizontalCentered="1"/>
  <pageMargins bottom="0.75" footer="0.0" header="0.0" left="0.7" right="0.7" top="0.75"/>
  <pageSetup fitToHeight="0" orientation="portrait" pageOrder="overThenDown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