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HOj8Z+421VWYMwoFvO+IgHpRysBKLNuzfm/Xt1Bqf3w="/>
    </ext>
  </extLst>
</workbook>
</file>

<file path=xl/sharedStrings.xml><?xml version="1.0" encoding="utf-8"?>
<sst xmlns="http://schemas.openxmlformats.org/spreadsheetml/2006/main" count="54" uniqueCount="41">
  <si>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</si>
  <si>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</si>
  <si>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</si>
  <si>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230050194</t>
  </si>
  <si>
    <t>Nama     : Brusli Yohanes Sahelangi</t>
  </si>
  <si>
    <t>Prodi      : S1-BISNIS DIGITAL</t>
  </si>
  <si>
    <r>
      <rPr>
        <rFont val="Times New Roman"/>
        <color theme="1"/>
        <sz val="15.0"/>
      </rPr>
      <t>I</t>
    </r>
    <r>
      <rPr>
        <rFont val="Times New Roman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</si>
  <si>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</si>
  <si>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</si>
  <si>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</si>
  <si>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</si>
  <si>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</si>
  <si>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</si>
  <si>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2023/2024</t>
  </si>
  <si>
    <t>Tunggakan</t>
  </si>
  <si>
    <t xml:space="preserve">Cuti Genap 2023/2024 </t>
  </si>
  <si>
    <t>Ganjil 2024/2025</t>
  </si>
  <si>
    <t xml:space="preserve">tidak aktif </t>
  </si>
  <si>
    <t>Genap 2024/2025</t>
  </si>
  <si>
    <t>Ganjil 2025/2026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</si>
  <si>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</si>
  <si>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</si>
  <si>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</si>
  <si>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Lunas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</si>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</sst>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7">
    <font>
      <sz val="11.0"/>
      <color theme="1"/>
      <name val="Calibri"/>
      <scheme val="minor"/>
    </font>
    <font>
      <b/>
      <sz val="12.0"/>
      <color theme="1"/>
      <name val="&quot;Times New Roman&quot;"/>
    </font>
    <font>
      <sz val="11.0"/>
      <color theme="1"/>
      <name val="Calibri"/>
    </font>
    <font>
      <b/>
      <sz val="29.0"/>
      <color theme="1"/>
      <name val="&quot;Times New Roman&quot;"/>
    </font>
    <font>
      <sz val="16.0"/>
      <color theme="1"/>
      <name val="&quot;Times New Roman&quot;"/>
    </font>
    <font>
      <color theme="1"/>
      <name val="Calibri"/>
      <scheme val="minor"/>
    </font>
    <font/>
    <font>
      <sz val="15.0"/>
      <color rgb="FF000000"/>
      <name val="&quot;Times New Roman&quot;"/>
    </font>
    <font>
      <b/>
      <sz val="15.0"/>
      <color theme="1"/>
      <name val="&quot;Times New Roman&quot;"/>
    </font>
    <font>
      <sz val="14.0"/>
      <color theme="1"/>
      <name val="&quot;Times New Roman&quot;"/>
    </font>
    <font>
      <b/>
      <sz val="14.0"/>
      <color theme="1"/>
      <name val="&quot;Times New Roman&quot;"/>
    </font>
    <font>
      <b/>
      <sz val="14.0"/>
      <color theme="1"/>
      <name val="Calibri"/>
    </font>
    <font>
      <sz val="16.0"/>
      <color rgb="FF000000"/>
      <name val="&quot;Times New Roman&quot;"/>
    </font>
    <font>
      <sz val="12.0"/>
      <color theme="1"/>
      <name val="&quot;Times New Roman&quot;"/>
    </font>
    <font>
      <sz val="14.0"/>
      <color theme="1"/>
      <name val="Calibri"/>
    </font>
    <font>
      <b/>
      <sz val="12.0"/>
      <color rgb="FF1F1F1F"/>
      <name val="&quot;Times New Roman&quot;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1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vertical="bottom"/>
    </xf>
    <xf borderId="1" fillId="0" fontId="5" numFmtId="0" xfId="0" applyBorder="1" applyFont="1"/>
    <xf borderId="1" fillId="0" fontId="6" numFmtId="0" xfId="0" applyBorder="1" applyFon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2" fillId="0" fontId="7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2" fillId="0" fontId="2" numFmtId="165" xfId="0" applyAlignment="1" applyBorder="1" applyFont="1" applyNumberFormat="1">
      <alignment vertical="bottom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3" fillId="0" fontId="9" numFmtId="0" xfId="0" applyAlignment="1" applyBorder="1" applyFont="1">
      <alignment horizontal="right" vertical="bottom"/>
    </xf>
    <xf borderId="4" fillId="3" fontId="2" numFmtId="0" xfId="0" applyAlignment="1" applyBorder="1" applyFill="1" applyFont="1">
      <alignment readingOrder="0" shrinkToFit="0" vertical="bottom" wrapText="1"/>
    </xf>
    <xf borderId="4" fillId="0" fontId="2" numFmtId="164" xfId="0" applyAlignment="1" applyBorder="1" applyFont="1" applyNumberFormat="1">
      <alignment horizontal="right" readingOrder="0" vertical="bottom"/>
    </xf>
    <xf borderId="4" fillId="0" fontId="2" numFmtId="166" xfId="0" applyAlignment="1" applyBorder="1" applyFont="1" applyNumberFormat="1">
      <alignment horizontal="right" vertical="bottom"/>
    </xf>
    <xf borderId="4" fillId="0" fontId="2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shrinkToFit="0" vertical="bottom" wrapText="1"/>
    </xf>
    <xf borderId="0" fillId="0" fontId="2" numFmtId="167" xfId="0" applyAlignment="1" applyFont="1" applyNumberFormat="1">
      <alignment vertical="bottom"/>
    </xf>
    <xf borderId="3" fillId="0" fontId="2" numFmtId="0" xfId="0" applyAlignment="1" applyBorder="1" applyFont="1">
      <alignment readingOrder="0" vertical="bottom"/>
    </xf>
    <xf borderId="4" fillId="3" fontId="2" numFmtId="0" xfId="0" applyAlignment="1" applyBorder="1" applyFont="1">
      <alignment readingOrder="0" vertical="bottom"/>
    </xf>
    <xf borderId="4" fillId="0" fontId="2" numFmtId="164" xfId="0" applyAlignment="1" applyBorder="1" applyFont="1" applyNumberFormat="1">
      <alignment readingOrder="0" vertical="bottom"/>
    </xf>
    <xf borderId="4" fillId="0" fontId="2" numFmtId="166" xfId="0" applyAlignment="1" applyBorder="1" applyFont="1" applyNumberFormat="1">
      <alignment vertical="bottom"/>
    </xf>
    <xf borderId="4" fillId="0" fontId="2" numFmtId="165" xfId="0" applyAlignment="1" applyBorder="1" applyFont="1" applyNumberFormat="1">
      <alignment vertical="bottom"/>
    </xf>
    <xf borderId="4" fillId="0" fontId="2" numFmtId="164" xfId="0" applyAlignment="1" applyBorder="1" applyFont="1" applyNumberFormat="1">
      <alignment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5" fillId="2" fontId="10" numFmtId="164" xfId="0" applyAlignment="1" applyBorder="1" applyFont="1" applyNumberFormat="1">
      <alignment horizontal="center" vertical="bottom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bottom"/>
    </xf>
    <xf borderId="4" fillId="2" fontId="10" numFmtId="164" xfId="0" applyAlignment="1" applyBorder="1" applyFont="1" applyNumberFormat="1">
      <alignment horizontal="center" vertical="bottom"/>
    </xf>
    <xf borderId="4" fillId="2" fontId="11" numFmtId="164" xfId="0" applyAlignment="1" applyBorder="1" applyFont="1" applyNumberFormat="1">
      <alignment horizontal="center" vertical="bottom"/>
    </xf>
    <xf borderId="4" fillId="2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11" numFmtId="166" xfId="0" applyAlignment="1" applyFont="1" applyNumberFormat="1">
      <alignment vertical="bottom"/>
    </xf>
    <xf borderId="0" fillId="0" fontId="11" numFmtId="3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0" fontId="12" numFmtId="0" xfId="0" applyAlignment="1" applyFont="1">
      <alignment shrinkToFit="0" vertical="bottom" wrapText="0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3" fillId="3" fontId="13" numFmtId="0" xfId="0" applyAlignment="1" applyBorder="1" applyFont="1">
      <alignment horizontal="center" vertical="bottom"/>
    </xf>
    <xf borderId="4" fillId="3" fontId="13" numFmtId="0" xfId="0" applyAlignment="1" applyBorder="1" applyFont="1">
      <alignment shrinkToFit="0" vertical="bottom" wrapText="1"/>
    </xf>
    <xf borderId="4" fillId="0" fontId="2" numFmtId="165" xfId="0" applyAlignment="1" applyBorder="1" applyFont="1" applyNumberFormat="1">
      <alignment horizontal="right" readingOrder="0" vertical="bottom"/>
    </xf>
    <xf borderId="4" fillId="3" fontId="2" numFmtId="164" xfId="0" applyAlignment="1" applyBorder="1" applyFont="1" applyNumberFormat="1">
      <alignment horizontal="right" vertical="bottom"/>
    </xf>
    <xf borderId="4" fillId="3" fontId="2" numFmtId="0" xfId="0" applyAlignment="1" applyBorder="1" applyFont="1">
      <alignment vertical="bottom"/>
    </xf>
    <xf borderId="4" fillId="3" fontId="13" numFmtId="0" xfId="0" applyAlignment="1" applyBorder="1" applyFont="1">
      <alignment vertical="bottom"/>
    </xf>
    <xf borderId="4" fillId="0" fontId="2" numFmtId="165" xfId="0" applyAlignment="1" applyBorder="1" applyFont="1" applyNumberFormat="1">
      <alignment horizontal="right" vertical="bottom"/>
    </xf>
    <xf borderId="4" fillId="3" fontId="2" numFmtId="164" xfId="0" applyAlignment="1" applyBorder="1" applyFont="1" applyNumberFormat="1">
      <alignment vertical="bottom"/>
    </xf>
    <xf borderId="5" fillId="2" fontId="9" numFmtId="0" xfId="0" applyAlignment="1" applyBorder="1" applyFont="1">
      <alignment horizontal="center" vertical="bottom"/>
    </xf>
    <xf borderId="2" fillId="2" fontId="9" numFmtId="164" xfId="0" applyAlignment="1" applyBorder="1" applyFont="1" applyNumberFormat="1">
      <alignment horizontal="center" vertical="bottom"/>
    </xf>
    <xf borderId="4" fillId="2" fontId="9" numFmtId="0" xfId="0" applyAlignment="1" applyBorder="1" applyFont="1">
      <alignment horizontal="center" vertical="bottom"/>
    </xf>
    <xf borderId="4" fillId="2" fontId="9" numFmtId="164" xfId="0" applyAlignment="1" applyBorder="1" applyFont="1" applyNumberFormat="1">
      <alignment horizontal="center" vertical="bottom"/>
    </xf>
    <xf borderId="4" fillId="2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166" xfId="0" applyAlignment="1" applyFont="1" applyNumberFormat="1">
      <alignment vertical="bottom"/>
    </xf>
    <xf borderId="0" fillId="0" fontId="14" numFmtId="3" xfId="0" applyAlignment="1" applyFont="1" applyNumberFormat="1">
      <alignment vertical="bottom"/>
    </xf>
    <xf borderId="5" fillId="4" fontId="10" numFmtId="0" xfId="0" applyAlignment="1" applyBorder="1" applyFill="1" applyFont="1">
      <alignment horizontal="center" vertical="bottom"/>
    </xf>
    <xf borderId="2" fillId="4" fontId="10" numFmtId="164" xfId="0" applyAlignment="1" applyBorder="1" applyFont="1" applyNumberFormat="1">
      <alignment horizontal="center" vertical="bottom"/>
    </xf>
    <xf borderId="4" fillId="4" fontId="10" numFmtId="0" xfId="0" applyAlignment="1" applyBorder="1" applyFont="1">
      <alignment horizontal="center" vertical="bottom"/>
    </xf>
    <xf borderId="4" fillId="4" fontId="10" numFmtId="164" xfId="0" applyAlignment="1" applyBorder="1" applyFont="1" applyNumberFormat="1">
      <alignment horizontal="center" vertical="bottom"/>
    </xf>
    <xf borderId="6" fillId="4" fontId="11" numFmtId="164" xfId="0" applyAlignment="1" applyBorder="1" applyFont="1" applyNumberFormat="1">
      <alignment horizontal="center" vertical="bottom"/>
    </xf>
    <xf borderId="6" fillId="4" fontId="14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7" fillId="0" fontId="13" numFmtId="0" xfId="0" applyAlignment="1" applyBorder="1" applyFont="1">
      <alignment vertical="bottom"/>
    </xf>
    <xf borderId="8" fillId="0" fontId="6" numFmtId="0" xfId="0" applyBorder="1" applyFont="1"/>
    <xf borderId="9" fillId="0" fontId="13" numFmtId="165" xfId="0" applyAlignment="1" applyBorder="1" applyFont="1" applyNumberFormat="1">
      <alignment vertical="bottom"/>
    </xf>
    <xf borderId="10" fillId="0" fontId="6" numFmtId="0" xfId="0" applyBorder="1" applyFont="1"/>
    <xf borderId="0" fillId="0" fontId="1" numFmtId="164" xfId="0" applyAlignment="1" applyFont="1" applyNumberFormat="1">
      <alignment horizontal="right" vertical="bottom"/>
    </xf>
    <xf borderId="0" fillId="3" fontId="15" numFmtId="165" xfId="0" applyAlignment="1" applyFont="1" applyNumberFormat="1">
      <alignment horizontal="left" vertical="bottom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0" fillId="0" fontId="16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1066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22.0"/>
    <col customWidth="1" min="3" max="3" width="19.43"/>
    <col customWidth="1" min="4" max="4" width="19.0"/>
    <col customWidth="1" min="5" max="5" width="17.14"/>
    <col customWidth="1" min="6" max="6" width="20.43"/>
    <col customWidth="1" min="7" max="7" width="23.57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0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3"/>
      <c r="D4" s="4"/>
      <c r="E4" s="3"/>
      <c r="F4" s="3"/>
      <c r="G4" s="2"/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8" t="s">
        <v>2</v>
      </c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/>
      <c r="B6" s="10"/>
      <c r="C6" s="10"/>
      <c r="D6" s="10"/>
      <c r="E6" s="10"/>
      <c r="F6" s="10"/>
      <c r="G6" s="10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3"/>
      <c r="D7" s="4"/>
      <c r="E7" s="3"/>
      <c r="F7" s="3"/>
      <c r="G7" s="2"/>
      <c r="H7" s="2"/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3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4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 t="s">
        <v>5</v>
      </c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/>
      <c r="B11" s="10"/>
      <c r="C11" s="10"/>
      <c r="D11" s="10"/>
      <c r="E11" s="10"/>
      <c r="F11" s="10"/>
      <c r="G11" s="10"/>
      <c r="H11" s="2"/>
      <c r="I11" s="2"/>
      <c r="J11" s="2"/>
      <c r="K11" s="5"/>
      <c r="L11" s="6"/>
      <c r="M11" s="6"/>
      <c r="N11" s="6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3"/>
      <c r="D12" s="4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6</v>
      </c>
      <c r="B13" s="14"/>
      <c r="C13" s="15"/>
      <c r="D13" s="16"/>
      <c r="E13" s="15"/>
      <c r="F13" s="15"/>
      <c r="G13" s="1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7" t="s">
        <v>7</v>
      </c>
      <c r="B14" s="18" t="s">
        <v>8</v>
      </c>
      <c r="C14" s="19" t="s">
        <v>9</v>
      </c>
      <c r="D14" s="20" t="s">
        <v>10</v>
      </c>
      <c r="E14" s="19" t="s">
        <v>11</v>
      </c>
      <c r="F14" s="19" t="s">
        <v>12</v>
      </c>
      <c r="G14" s="18" t="s">
        <v>8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2">
        <v>1.0</v>
      </c>
      <c r="B15" s="23" t="s">
        <v>13</v>
      </c>
      <c r="C15" s="24">
        <v>5500000.0</v>
      </c>
      <c r="D15" s="25"/>
      <c r="E15" s="24">
        <v>0.0</v>
      </c>
      <c r="F15" s="26">
        <f t="shared" ref="F15:F19" si="1">C15-E15</f>
        <v>5500000</v>
      </c>
      <c r="G15" s="27" t="s">
        <v>14</v>
      </c>
      <c r="H15" s="2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9">
        <v>2.0</v>
      </c>
      <c r="B16" s="30" t="s">
        <v>15</v>
      </c>
      <c r="C16" s="31">
        <v>1000000.0</v>
      </c>
      <c r="D16" s="32"/>
      <c r="E16" s="24">
        <v>0.0</v>
      </c>
      <c r="F16" s="26">
        <f t="shared" si="1"/>
        <v>1000000</v>
      </c>
      <c r="G16" s="27" t="s">
        <v>14</v>
      </c>
      <c r="H16" s="2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9">
        <v>3.0</v>
      </c>
      <c r="B17" s="30" t="s">
        <v>16</v>
      </c>
      <c r="C17" s="31">
        <v>1100000.0</v>
      </c>
      <c r="D17" s="33"/>
      <c r="E17" s="34"/>
      <c r="F17" s="34">
        <f t="shared" si="1"/>
        <v>1100000</v>
      </c>
      <c r="G17" s="35"/>
      <c r="H17" s="36" t="s">
        <v>17</v>
      </c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9">
        <v>4.0</v>
      </c>
      <c r="B18" s="30" t="s">
        <v>18</v>
      </c>
      <c r="C18" s="31">
        <v>1100000.0</v>
      </c>
      <c r="D18" s="33"/>
      <c r="E18" s="34"/>
      <c r="F18" s="34">
        <f t="shared" si="1"/>
        <v>1100000</v>
      </c>
      <c r="G18" s="35"/>
      <c r="H18" s="36" t="s">
        <v>17</v>
      </c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9">
        <v>5.0</v>
      </c>
      <c r="B19" s="30" t="s">
        <v>19</v>
      </c>
      <c r="C19" s="31">
        <v>1100000.0</v>
      </c>
      <c r="D19" s="33"/>
      <c r="E19" s="34"/>
      <c r="F19" s="34">
        <f t="shared" si="1"/>
        <v>1100000</v>
      </c>
      <c r="G19" s="35"/>
      <c r="H19" s="36" t="s">
        <v>17</v>
      </c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7" t="s">
        <v>20</v>
      </c>
      <c r="B20" s="38"/>
      <c r="C20" s="39">
        <f>sum(C15:C19)</f>
        <v>9800000</v>
      </c>
      <c r="D20" s="40"/>
      <c r="E20" s="40">
        <f t="shared" ref="E20:F20" si="2">SUM(E15:E19)</f>
        <v>0</v>
      </c>
      <c r="F20" s="41">
        <f t="shared" si="2"/>
        <v>9800000</v>
      </c>
      <c r="G20" s="42"/>
      <c r="H20" s="43"/>
      <c r="I20" s="43"/>
      <c r="J20" s="43"/>
      <c r="K20" s="44"/>
      <c r="L20" s="45"/>
      <c r="M20" s="45"/>
      <c r="N20" s="45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46"/>
      <c r="B21" s="46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7" t="s">
        <v>21</v>
      </c>
      <c r="B22" s="2"/>
      <c r="C22" s="3"/>
      <c r="D22" s="4"/>
      <c r="E22" s="3"/>
      <c r="F22" s="3"/>
      <c r="G22" s="2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4"/>
      <c r="B23" s="14"/>
      <c r="C23" s="15"/>
      <c r="D23" s="16"/>
      <c r="E23" s="15"/>
      <c r="F23" s="15"/>
      <c r="G23" s="14"/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7" t="s">
        <v>7</v>
      </c>
      <c r="B24" s="18" t="s">
        <v>8</v>
      </c>
      <c r="C24" s="19" t="s">
        <v>9</v>
      </c>
      <c r="D24" s="20" t="s">
        <v>10</v>
      </c>
      <c r="E24" s="19" t="s">
        <v>11</v>
      </c>
      <c r="F24" s="19" t="s">
        <v>12</v>
      </c>
      <c r="G24" s="18" t="s">
        <v>8</v>
      </c>
      <c r="H24" s="21"/>
      <c r="I24" s="21"/>
      <c r="J24" s="21"/>
      <c r="K24" s="48"/>
      <c r="L24" s="49"/>
      <c r="M24" s="49"/>
      <c r="N24" s="49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50">
        <v>1.0</v>
      </c>
      <c r="B25" s="51" t="s">
        <v>22</v>
      </c>
      <c r="C25" s="26">
        <v>300000.0</v>
      </c>
      <c r="D25" s="52">
        <v>45093.0</v>
      </c>
      <c r="E25" s="53">
        <v>300000.0</v>
      </c>
      <c r="F25" s="53">
        <f t="shared" ref="F25:F27" si="3">C25-E25</f>
        <v>0</v>
      </c>
      <c r="G25" s="54" t="s">
        <v>23</v>
      </c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0">
        <v>2.0</v>
      </c>
      <c r="B26" s="55" t="s">
        <v>24</v>
      </c>
      <c r="C26" s="26">
        <v>1350000.0</v>
      </c>
      <c r="D26" s="56"/>
      <c r="E26" s="24">
        <v>0.0</v>
      </c>
      <c r="F26" s="53">
        <f t="shared" si="3"/>
        <v>1350000</v>
      </c>
      <c r="G26" s="30" t="s">
        <v>14</v>
      </c>
      <c r="H26" s="2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0">
        <v>3.0</v>
      </c>
      <c r="B27" s="51" t="s">
        <v>25</v>
      </c>
      <c r="C27" s="26">
        <v>8000000.0</v>
      </c>
      <c r="D27" s="52">
        <v>45114.0</v>
      </c>
      <c r="E27" s="24">
        <v>1350000.0</v>
      </c>
      <c r="F27" s="53">
        <f t="shared" si="3"/>
        <v>6650000</v>
      </c>
      <c r="G27" s="54" t="s">
        <v>14</v>
      </c>
      <c r="H27" s="2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0">
        <v>4.0</v>
      </c>
      <c r="B28" s="51" t="s">
        <v>26</v>
      </c>
      <c r="C28" s="34"/>
      <c r="D28" s="33"/>
      <c r="E28" s="34"/>
      <c r="F28" s="57"/>
      <c r="G28" s="54"/>
      <c r="H28" s="2"/>
      <c r="I28" s="2"/>
      <c r="J28" s="2"/>
      <c r="K28" s="5"/>
      <c r="L28" s="6"/>
      <c r="M28" s="6"/>
      <c r="N28" s="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8" t="s">
        <v>27</v>
      </c>
      <c r="B29" s="38"/>
      <c r="C29" s="59">
        <f>sum(C25:C28)</f>
        <v>9650000</v>
      </c>
      <c r="D29" s="60"/>
      <c r="E29" s="61">
        <f>sum(E25:E28)</f>
        <v>1650000</v>
      </c>
      <c r="F29" s="61">
        <f>SUM(F25:F28)</f>
        <v>8000000</v>
      </c>
      <c r="G29" s="62"/>
      <c r="H29" s="63"/>
      <c r="I29" s="63"/>
      <c r="J29" s="63"/>
      <c r="K29" s="64"/>
      <c r="L29" s="65"/>
      <c r="M29" s="65"/>
      <c r="N29" s="65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>
      <c r="A30" s="66" t="s">
        <v>28</v>
      </c>
      <c r="B30" s="38"/>
      <c r="C30" s="67">
        <f>C20+C29</f>
        <v>19450000</v>
      </c>
      <c r="D30" s="68"/>
      <c r="E30" s="69">
        <f>E29+E20</f>
        <v>1650000</v>
      </c>
      <c r="F30" s="70">
        <f>F20+F29</f>
        <v>17800000</v>
      </c>
      <c r="G30" s="71"/>
      <c r="H30" s="63"/>
      <c r="I30" s="63"/>
      <c r="J30" s="63"/>
      <c r="K30" s="64"/>
      <c r="L30" s="65"/>
      <c r="M30" s="65"/>
      <c r="N30" s="65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>
      <c r="A31" s="46"/>
      <c r="E31" s="3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2"/>
      <c r="B32" s="9"/>
      <c r="C32" s="10"/>
      <c r="D32" s="10"/>
      <c r="E32" s="73"/>
      <c r="F32" s="9"/>
      <c r="G32" s="10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4" t="s">
        <v>29</v>
      </c>
      <c r="G33" s="75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4" t="s">
        <v>30</v>
      </c>
      <c r="G34" s="75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4" t="s">
        <v>31</v>
      </c>
      <c r="G35" s="75"/>
      <c r="H35" s="2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6" t="s">
        <v>32</v>
      </c>
      <c r="B36" s="10"/>
      <c r="C36" s="10"/>
      <c r="D36" s="10"/>
      <c r="E36" s="10"/>
      <c r="F36" s="10"/>
      <c r="G36" s="77"/>
      <c r="H36" s="4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1">
      <c r="A37" s="2"/>
      <c r="B37" s="2"/>
      <c r="C37" s="3"/>
      <c r="D37" s="4"/>
      <c r="E37" s="3"/>
      <c r="F37" s="78" t="s">
        <v>33</v>
      </c>
      <c r="G37" s="79">
        <v>45209.0</v>
      </c>
      <c r="H37" s="80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3.75" customHeight="1">
      <c r="A38" s="2"/>
      <c r="B38" s="3"/>
      <c r="C38" s="3"/>
      <c r="D38" s="4"/>
      <c r="E38" s="3"/>
      <c r="F38" s="81" t="s">
        <v>34</v>
      </c>
      <c r="H38" s="3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81" t="s">
        <v>35</v>
      </c>
      <c r="D39" s="4"/>
      <c r="E39" s="3"/>
      <c r="F39" s="81" t="s">
        <v>36</v>
      </c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4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3"/>
      <c r="G41" s="2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4"/>
      <c r="E42" s="3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3"/>
      <c r="C43" s="3"/>
      <c r="D43" s="4"/>
      <c r="E43" s="3"/>
      <c r="F43" s="3"/>
      <c r="G43" s="3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82" t="s">
        <v>37</v>
      </c>
      <c r="C44" s="10"/>
      <c r="D44" s="4"/>
      <c r="E44" s="3"/>
      <c r="F44" s="82" t="s">
        <v>38</v>
      </c>
      <c r="G44" s="10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83" t="s">
        <v>39</v>
      </c>
      <c r="D45" s="4"/>
      <c r="E45" s="3"/>
      <c r="F45" s="84" t="s">
        <v>40</v>
      </c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4"/>
      <c r="G46" s="2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D47" s="4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5"/>
      <c r="L969" s="6"/>
      <c r="M969" s="6"/>
      <c r="N969" s="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2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2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2"/>
      <c r="E1003" s="3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29">
    <mergeCell ref="C2:G2"/>
    <mergeCell ref="C5:G5"/>
    <mergeCell ref="A6:G6"/>
    <mergeCell ref="A8:H8"/>
    <mergeCell ref="A9:H9"/>
    <mergeCell ref="A10:H10"/>
    <mergeCell ref="A11:G11"/>
    <mergeCell ref="B31:D31"/>
    <mergeCell ref="F31:G31"/>
    <mergeCell ref="B32:D32"/>
    <mergeCell ref="F32:G32"/>
    <mergeCell ref="A20:B20"/>
    <mergeCell ref="A29:B29"/>
    <mergeCell ref="A30:B30"/>
    <mergeCell ref="B39:C39"/>
    <mergeCell ref="B44:C44"/>
    <mergeCell ref="B45:C45"/>
    <mergeCell ref="B47:C47"/>
    <mergeCell ref="F44:G44"/>
    <mergeCell ref="F45:G45"/>
    <mergeCell ref="E46:F46"/>
    <mergeCell ref="E47:G47"/>
    <mergeCell ref="A33:G33"/>
    <mergeCell ref="A34:G34"/>
    <mergeCell ref="A35:G35"/>
    <mergeCell ref="A36:G36"/>
    <mergeCell ref="F38:G38"/>
    <mergeCell ref="F39:G39"/>
    <mergeCell ref="F42:G42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