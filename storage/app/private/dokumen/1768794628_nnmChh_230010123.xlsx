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PFbMixcyPYqHstadXMzGmszws6azW0tCJVDl6FHQegQ="/>
    </ext>
  </extLst>
</workbook>
</file>

<file path=xl/sharedStrings.xml><?xml version="1.0" encoding="utf-8"?>
<sst xmlns="http://schemas.openxmlformats.org/spreadsheetml/2006/main" count="53" uniqueCount="41">
  <si>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</si>
  <si>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</si>
  <si>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</si>
  <si>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230010123</t>
  </si>
  <si>
    <t>Nama     : I Kadek Sudiana</t>
  </si>
  <si>
    <t>Prodi      : S1- SISTEM INFORMASI</t>
  </si>
  <si>
    <r>
      <rPr>
        <rFont val="&quot;Times New Roman&quot;"/>
        <color theme="1"/>
        <sz val="15.0"/>
      </rPr>
      <t>I</t>
    </r>
    <r>
      <rPr>
        <rFont val="&quot;Times New Roman&quot;"/>
        <b/>
        <color theme="1"/>
        <sz val="15.0"/>
      </rPr>
      <t>. Biaya Semesteran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</si>
  <si>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</si>
  <si>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</si>
  <si>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</si>
  <si>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</si>
  <si>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</si>
  <si>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</si>
  <si>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</si>
  <si>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Tunggakan</t>
  </si>
  <si>
    <t>Cuti 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</si>
  <si>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</si>
  <si>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</si>
  <si>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</si>
  <si>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</si>
  <si>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</si>
  <si>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</si>
  <si>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</si>
  <si>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</si>
  <si>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Merupakan Mahasiswa RENIM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</si>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</sst>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theme="1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b/>
      <sz val="14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sz val="13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9" numFmtId="0" xfId="0" applyAlignment="1" applyBorder="1" applyFont="1">
      <alignment horizontal="center" vertical="bottom"/>
    </xf>
    <xf borderId="4" fillId="3" fontId="2" numFmtId="0" xfId="0" applyAlignment="1" applyBorder="1" applyFill="1" applyFont="1">
      <alignment shrinkToFit="0" vertical="bottom" wrapText="1"/>
    </xf>
    <xf borderId="4" fillId="0" fontId="2" numFmtId="164" xfId="0" applyAlignment="1" applyBorder="1" applyFont="1" applyNumberFormat="1">
      <alignment horizontal="right" readingOrder="0" vertical="bottom"/>
    </xf>
    <xf borderId="4" fillId="0" fontId="2" numFmtId="165" xfId="0" applyAlignment="1" applyBorder="1" applyFont="1" applyNumberFormat="1">
      <alignment horizontal="right" readingOrder="0" vertical="bottom"/>
    </xf>
    <xf borderId="4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shrinkToFit="0" vertical="bottom" wrapText="1"/>
    </xf>
    <xf borderId="0" fillId="0" fontId="2" numFmtId="167" xfId="0" applyAlignment="1" applyFont="1" applyNumberFormat="1">
      <alignment vertical="bottom"/>
    </xf>
    <xf borderId="3" fillId="0" fontId="9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5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5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1" numFmtId="164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3" fillId="3" fontId="13" numFmtId="0" xfId="0" applyAlignment="1" applyBorder="1" applyFont="1">
      <alignment horizontal="center"/>
    </xf>
    <xf borderId="4" fillId="3" fontId="13" numFmtId="0" xfId="0" applyAlignment="1" applyBorder="1" applyFont="1">
      <alignment shrinkToFit="0" wrapText="1"/>
    </xf>
    <xf borderId="4" fillId="0" fontId="2" numFmtId="164" xfId="0" applyAlignment="1" applyBorder="1" applyFont="1" applyNumberFormat="1">
      <alignment horizontal="right"/>
    </xf>
    <xf borderId="4" fillId="0" fontId="2" numFmtId="165" xfId="0" applyAlignment="1" applyBorder="1" applyFont="1" applyNumberFormat="1">
      <alignment horizontal="center" readingOrder="0" shrinkToFit="0" wrapText="1"/>
    </xf>
    <xf borderId="2" fillId="3" fontId="14" numFmtId="164" xfId="0" applyAlignment="1" applyBorder="1" applyFont="1" applyNumberFormat="1">
      <alignment horizontal="center" readingOrder="0"/>
    </xf>
    <xf borderId="2" fillId="3" fontId="14" numFmtId="164" xfId="0" applyAlignment="1" applyBorder="1" applyFont="1" applyNumberFormat="1">
      <alignment horizontal="center"/>
    </xf>
    <xf borderId="4" fillId="3" fontId="14" numFmtId="164" xfId="0" applyAlignment="1" applyBorder="1" applyFont="1" applyNumberFormat="1">
      <alignment horizontal="center" readingOrder="0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3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vertical="bottom"/>
    </xf>
    <xf borderId="0" fillId="0" fontId="15" numFmtId="164" xfId="0" applyAlignment="1" applyFont="1" applyNumberFormat="1">
      <alignment horizontal="center"/>
    </xf>
    <xf borderId="6" fillId="0" fontId="6" numFmtId="0" xfId="0" applyBorder="1" applyFont="1"/>
    <xf borderId="4" fillId="3" fontId="13" numFmtId="0" xfId="0" applyAlignment="1" applyBorder="1" applyFont="1">
      <alignment shrinkToFit="0" vertical="bottom" wrapText="1"/>
    </xf>
    <xf borderId="4" fillId="0" fontId="6" numFmtId="0" xfId="0" applyBorder="1" applyFont="1"/>
    <xf borderId="4" fillId="3" fontId="2" numFmtId="164" xfId="0" applyAlignment="1" applyBorder="1" applyFont="1" applyNumberFormat="1">
      <alignment vertical="bottom"/>
    </xf>
    <xf borderId="4" fillId="3" fontId="2" numFmtId="0" xfId="0" applyAlignment="1" applyBorder="1" applyFont="1">
      <alignment vertical="bottom"/>
    </xf>
    <xf borderId="5" fillId="2" fontId="9" numFmtId="0" xfId="0" applyAlignment="1" applyBorder="1" applyFon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horizontal="center" vertical="bottom"/>
    </xf>
    <xf borderId="4" fillId="2" fontId="9" numFmtId="164" xfId="0" applyAlignment="1" applyBorder="1" applyFont="1" applyNumberFormat="1">
      <alignment horizontal="center" vertical="bottom"/>
    </xf>
    <xf borderId="4" fillId="2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vertical="bottom"/>
    </xf>
    <xf borderId="0" fillId="0" fontId="16" numFmtId="3" xfId="0" applyAlignment="1" applyFont="1" applyNumberFormat="1">
      <alignment vertical="bottom"/>
    </xf>
    <xf borderId="5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4" fillId="4" fontId="11" numFmtId="164" xfId="0" applyAlignment="1" applyBorder="1" applyFont="1" applyNumberFormat="1">
      <alignment horizontal="center" vertical="bottom"/>
    </xf>
    <xf borderId="4" fillId="4" fontId="16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7" fillId="0" fontId="13" numFmtId="0" xfId="0" applyAlignment="1" applyBorder="1" applyFont="1">
      <alignment vertical="bottom"/>
    </xf>
    <xf borderId="8" fillId="0" fontId="6" numFmtId="0" xfId="0" applyBorder="1" applyFont="1"/>
    <xf borderId="9" fillId="0" fontId="13" numFmtId="165" xfId="0" applyAlignment="1" applyBorder="1" applyFont="1" applyNumberFormat="1">
      <alignment vertical="bottom"/>
    </xf>
    <xf borderId="10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7" numFmtId="165" xfId="0" applyAlignment="1" applyFont="1" applyNumberFormat="1">
      <alignment horizontal="left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8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240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3.86"/>
    <col customWidth="1" min="3" max="7" width="19.43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6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>
        <v>1.0</v>
      </c>
      <c r="B15" s="22" t="s">
        <v>13</v>
      </c>
      <c r="C15" s="23">
        <v>5500000.0</v>
      </c>
      <c r="D15" s="24">
        <v>45155.0</v>
      </c>
      <c r="E15" s="25">
        <v>2750000.0</v>
      </c>
      <c r="F15" s="25">
        <f t="shared" ref="F15:F19" si="1">C15-E15</f>
        <v>2750000</v>
      </c>
      <c r="G15" s="26" t="s">
        <v>14</v>
      </c>
      <c r="H15" s="2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8">
        <v>2.0</v>
      </c>
      <c r="B16" s="29" t="s">
        <v>15</v>
      </c>
      <c r="C16" s="23">
        <v>1000000.0</v>
      </c>
      <c r="D16" s="24"/>
      <c r="E16" s="25"/>
      <c r="F16" s="25">
        <f t="shared" si="1"/>
        <v>1000000</v>
      </c>
      <c r="G16" s="26" t="s">
        <v>14</v>
      </c>
      <c r="H16" s="2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0">
        <v>3.0</v>
      </c>
      <c r="B17" s="31" t="s">
        <v>16</v>
      </c>
      <c r="C17" s="32">
        <v>1100000.0</v>
      </c>
      <c r="D17" s="33"/>
      <c r="E17" s="34"/>
      <c r="F17" s="34">
        <f t="shared" si="1"/>
        <v>1100000</v>
      </c>
      <c r="G17" s="26" t="s">
        <v>14</v>
      </c>
      <c r="H17" s="2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0">
        <v>4.0</v>
      </c>
      <c r="B18" s="31" t="s">
        <v>17</v>
      </c>
      <c r="C18" s="32">
        <v>1100000.0</v>
      </c>
      <c r="D18" s="33"/>
      <c r="E18" s="34"/>
      <c r="F18" s="34">
        <f t="shared" si="1"/>
        <v>1100000</v>
      </c>
      <c r="G18" s="26" t="s">
        <v>14</v>
      </c>
      <c r="H18" s="2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0">
        <v>5.0</v>
      </c>
      <c r="B19" s="31" t="s">
        <v>18</v>
      </c>
      <c r="C19" s="32">
        <v>1100000.0</v>
      </c>
      <c r="D19" s="33"/>
      <c r="E19" s="34"/>
      <c r="F19" s="34">
        <f t="shared" si="1"/>
        <v>1100000</v>
      </c>
      <c r="G19" s="26" t="s">
        <v>14</v>
      </c>
      <c r="H19" s="2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5" t="s">
        <v>19</v>
      </c>
      <c r="B20" s="36"/>
      <c r="C20" s="37">
        <f>sum(C15:C19)</f>
        <v>9800000</v>
      </c>
      <c r="D20" s="38"/>
      <c r="E20" s="38">
        <f t="shared" ref="E20:F20" si="2">SUM(E15:E19)</f>
        <v>2750000</v>
      </c>
      <c r="F20" s="39">
        <f t="shared" si="2"/>
        <v>7050000</v>
      </c>
      <c r="G20" s="40"/>
      <c r="H20" s="41"/>
      <c r="I20" s="41"/>
      <c r="J20" s="41"/>
      <c r="K20" s="42"/>
      <c r="L20" s="43"/>
      <c r="M20" s="43"/>
      <c r="N20" s="43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4"/>
      <c r="B21" s="44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5" t="s">
        <v>20</v>
      </c>
      <c r="B22" s="2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13"/>
      <c r="C23" s="14"/>
      <c r="D23" s="15"/>
      <c r="E23" s="14"/>
      <c r="F23" s="14"/>
      <c r="G23" s="13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7</v>
      </c>
      <c r="B24" s="17" t="s">
        <v>8</v>
      </c>
      <c r="C24" s="18" t="s">
        <v>9</v>
      </c>
      <c r="D24" s="19" t="s">
        <v>10</v>
      </c>
      <c r="E24" s="18" t="s">
        <v>11</v>
      </c>
      <c r="F24" s="18" t="s">
        <v>12</v>
      </c>
      <c r="G24" s="17" t="s">
        <v>8</v>
      </c>
      <c r="H24" s="20"/>
      <c r="I24" s="20"/>
      <c r="J24" s="20"/>
      <c r="K24" s="46"/>
      <c r="L24" s="47"/>
      <c r="M24" s="47"/>
      <c r="N24" s="47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48">
        <v>1.0</v>
      </c>
      <c r="B25" s="49" t="s">
        <v>21</v>
      </c>
      <c r="C25" s="50">
        <v>300000.0</v>
      </c>
      <c r="D25" s="51">
        <v>45112.0</v>
      </c>
      <c r="E25" s="52">
        <v>300000.0</v>
      </c>
      <c r="F25" s="53">
        <f>C25-E25</f>
        <v>0</v>
      </c>
      <c r="G25" s="54" t="s">
        <v>22</v>
      </c>
      <c r="H25" s="55"/>
      <c r="I25" s="55"/>
      <c r="J25" s="55"/>
      <c r="K25" s="56"/>
      <c r="L25" s="57"/>
      <c r="M25" s="57"/>
      <c r="N25" s="57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8">
        <v>2.0</v>
      </c>
      <c r="B26" s="59" t="s">
        <v>23</v>
      </c>
      <c r="C26" s="60" t="s">
        <v>24</v>
      </c>
      <c r="G26" s="61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8">
        <v>3.0</v>
      </c>
      <c r="B27" s="62" t="s">
        <v>25</v>
      </c>
      <c r="C27" s="36"/>
      <c r="D27" s="36"/>
      <c r="E27" s="36"/>
      <c r="F27" s="36"/>
      <c r="G27" s="63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8">
        <v>4.0</v>
      </c>
      <c r="B28" s="62" t="s">
        <v>26</v>
      </c>
      <c r="C28" s="34"/>
      <c r="D28" s="33"/>
      <c r="E28" s="34"/>
      <c r="F28" s="64"/>
      <c r="G28" s="65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6" t="s">
        <v>27</v>
      </c>
      <c r="B29" s="36"/>
      <c r="C29" s="67">
        <f>sum(C25)</f>
        <v>300000</v>
      </c>
      <c r="D29" s="68"/>
      <c r="E29" s="69">
        <f>sum(E25:E28)</f>
        <v>300000</v>
      </c>
      <c r="F29" s="69">
        <f>SUM(F25:F28)</f>
        <v>0</v>
      </c>
      <c r="G29" s="70"/>
      <c r="H29" s="71"/>
      <c r="I29" s="71"/>
      <c r="J29" s="71"/>
      <c r="K29" s="72"/>
      <c r="L29" s="73"/>
      <c r="M29" s="73"/>
      <c r="N29" s="73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4" t="s">
        <v>28</v>
      </c>
      <c r="B30" s="36"/>
      <c r="C30" s="75">
        <f>C20+C29</f>
        <v>10100000</v>
      </c>
      <c r="D30" s="76"/>
      <c r="E30" s="77">
        <f>E29+E20</f>
        <v>3050000</v>
      </c>
      <c r="F30" s="78">
        <f>F20+F29</f>
        <v>7050000</v>
      </c>
      <c r="G30" s="79"/>
      <c r="H30" s="71"/>
      <c r="I30" s="71"/>
      <c r="J30" s="71"/>
      <c r="K30" s="72"/>
      <c r="L30" s="73"/>
      <c r="M30" s="73"/>
      <c r="N30" s="73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44"/>
      <c r="E31" s="3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0"/>
      <c r="B32" s="9"/>
      <c r="C32" s="10"/>
      <c r="D32" s="10"/>
      <c r="E32" s="81"/>
      <c r="F32" s="9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2" t="s">
        <v>29</v>
      </c>
      <c r="G33" s="83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2" t="s">
        <v>30</v>
      </c>
      <c r="G34" s="83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2" t="s">
        <v>31</v>
      </c>
      <c r="G35" s="83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4" t="s">
        <v>32</v>
      </c>
      <c r="B36" s="10"/>
      <c r="C36" s="10"/>
      <c r="D36" s="10"/>
      <c r="E36" s="10"/>
      <c r="F36" s="10"/>
      <c r="G36" s="85"/>
      <c r="H36" s="86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4.5" customHeight="1">
      <c r="A37" s="2"/>
      <c r="B37" s="2"/>
      <c r="C37" s="3"/>
      <c r="D37" s="4"/>
      <c r="E37" s="3"/>
      <c r="F37" s="87" t="s">
        <v>33</v>
      </c>
      <c r="G37" s="88">
        <v>45209.0</v>
      </c>
      <c r="H37" s="89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3"/>
      <c r="C38" s="3"/>
      <c r="D38" s="4"/>
      <c r="E38" s="3"/>
      <c r="F38" s="90" t="s">
        <v>34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0" t="s">
        <v>35</v>
      </c>
      <c r="D39" s="4"/>
      <c r="E39" s="3"/>
      <c r="F39" s="90" t="s">
        <v>36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86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1" t="s">
        <v>37</v>
      </c>
      <c r="C44" s="10"/>
      <c r="D44" s="4"/>
      <c r="E44" s="3"/>
      <c r="F44" s="91" t="s">
        <v>38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2" t="s">
        <v>39</v>
      </c>
      <c r="D45" s="4"/>
      <c r="E45" s="3"/>
      <c r="F45" s="93" t="s">
        <v>40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D47" s="4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0">
    <mergeCell ref="C2:G2"/>
    <mergeCell ref="C5:G5"/>
    <mergeCell ref="A6:G6"/>
    <mergeCell ref="A8:H8"/>
    <mergeCell ref="A9:H9"/>
    <mergeCell ref="A10:H10"/>
    <mergeCell ref="A11:G11"/>
    <mergeCell ref="C26:G27"/>
    <mergeCell ref="B31:D31"/>
    <mergeCell ref="F31:G31"/>
    <mergeCell ref="F32:G32"/>
    <mergeCell ref="A20:B20"/>
    <mergeCell ref="A29:B29"/>
    <mergeCell ref="A30:B30"/>
    <mergeCell ref="B32:D32"/>
    <mergeCell ref="A33:G33"/>
    <mergeCell ref="A34:G34"/>
    <mergeCell ref="A35:G35"/>
    <mergeCell ref="A36:G36"/>
    <mergeCell ref="F38:G38"/>
    <mergeCell ref="B39:C39"/>
    <mergeCell ref="B47:C47"/>
    <mergeCell ref="E47:G47"/>
    <mergeCell ref="F39:G39"/>
    <mergeCell ref="F42:G42"/>
    <mergeCell ref="B44:C44"/>
    <mergeCell ref="F44:G44"/>
    <mergeCell ref="B45:C45"/>
    <mergeCell ref="F45:G45"/>
    <mergeCell ref="E46:F46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