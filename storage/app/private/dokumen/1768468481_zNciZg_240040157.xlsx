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<sst xmlns="http://schemas.openxmlformats.org/spreadsheetml/2006/main" count="45" uniqueCount="37">
  <si>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</si>
  <si>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</si>
  <si>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</si>
  <si>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240040157</t>
  </si>
  <si>
    <t>Nama     : M.Zidan Abror</t>
  </si>
  <si>
    <t>Prodi      : S1- TEKNOLOGI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</si>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</sst>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5" fillId="3" fontId="9" numFmtId="165" xfId="0" applyAlignment="1" applyBorder="1" applyFont="1" applyNumberFormat="1">
      <alignment horizontal="center" readingOrder="0"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3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7" fillId="4" fontId="10" numFmtId="164" xfId="0" applyAlignment="1" applyBorder="1" applyFont="1" applyNumberFormat="1">
      <alignment horizontal="center" vertical="center"/>
    </xf>
    <xf borderId="7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9" fillId="0" fontId="6" numFmtId="0" xfId="0" applyBorder="1" applyFont="1"/>
    <xf borderId="10" fillId="0" fontId="9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/>
      <c r="E14" s="22">
        <v>0.0</v>
      </c>
      <c r="F14" s="22">
        <f>C14-E14</f>
        <v>6000000</v>
      </c>
      <c r="G14" s="24" t="str">
        <f t="shared" ref="G14:G16" si="1">if(E14&gt;=C14,"Lunas","Tunggakan")</f>
        <v>Tunggakan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</row>
    <row r="15">
      <c r="A15" s="27">
        <v>2.0</v>
      </c>
      <c r="B15" s="28" t="s">
        <v>14</v>
      </c>
      <c r="C15" s="29">
        <v>6000000.0</v>
      </c>
      <c r="D15" s="23"/>
      <c r="E15" s="29">
        <v>0.0</v>
      </c>
      <c r="F15" s="29">
        <v>6000000.0</v>
      </c>
      <c r="G15" s="24" t="str">
        <f t="shared" si="1"/>
        <v>Tunggakan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</row>
    <row r="16">
      <c r="A16" s="27">
        <v>3.0</v>
      </c>
      <c r="B16" s="30" t="s">
        <v>15</v>
      </c>
      <c r="C16" s="29">
        <v>6000000.0</v>
      </c>
      <c r="D16" s="23"/>
      <c r="E16" s="29">
        <v>0.0</v>
      </c>
      <c r="F16" s="29">
        <v>6000000.0</v>
      </c>
      <c r="G16" s="24" t="str">
        <f t="shared" si="1"/>
        <v>Tunggakan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</row>
    <row r="17">
      <c r="A17" s="20"/>
      <c r="B17" s="31"/>
      <c r="C17" s="22"/>
      <c r="D17" s="23"/>
      <c r="E17" s="22"/>
      <c r="F17" s="22"/>
      <c r="G17" s="24"/>
      <c r="H17" s="25"/>
      <c r="I17" s="32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3"/>
      <c r="B18" s="34"/>
      <c r="C18" s="35"/>
      <c r="D18" s="36"/>
      <c r="E18" s="35"/>
      <c r="F18" s="35"/>
      <c r="G18" s="37"/>
      <c r="H18" s="25"/>
      <c r="I18" s="32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8" t="s">
        <v>16</v>
      </c>
      <c r="B19" s="39"/>
      <c r="C19" s="40">
        <f>sum(C14:C18)</f>
        <v>18000000</v>
      </c>
      <c r="D19" s="41"/>
      <c r="E19" s="41">
        <f t="shared" ref="E19:F19" si="2">SUM(E14:E18)</f>
        <v>0</v>
      </c>
      <c r="F19" s="41">
        <f t="shared" si="2"/>
        <v>18000000</v>
      </c>
      <c r="G19" s="42"/>
      <c r="H19" s="43"/>
      <c r="I19" s="43"/>
      <c r="J19" s="43"/>
      <c r="K19" s="44"/>
      <c r="L19" s="45"/>
      <c r="M19" s="45"/>
      <c r="N19" s="45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6"/>
      <c r="B20" s="46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7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8">
        <v>1.0</v>
      </c>
      <c r="B24" s="49" t="s">
        <v>18</v>
      </c>
      <c r="C24" s="50">
        <v>400000.0</v>
      </c>
      <c r="D24" s="51">
        <v>45514.0</v>
      </c>
      <c r="E24" s="50">
        <v>400000.0</v>
      </c>
      <c r="F24" s="50">
        <f t="shared" ref="F24:F26" si="3">C24-E24</f>
        <v>0</v>
      </c>
      <c r="G24" s="50" t="str">
        <f t="shared" ref="G24:G25" si="4">if(E24&gt;=C24,"Lunas","Tunggakan")</f>
        <v>Lunas</v>
      </c>
      <c r="H24" s="25"/>
      <c r="I24" s="25"/>
      <c r="J24" s="25"/>
      <c r="K24" s="52"/>
      <c r="L24" s="53"/>
      <c r="M24" s="53"/>
      <c r="N24" s="53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8">
        <v>2.0</v>
      </c>
      <c r="B25" s="34" t="s">
        <v>19</v>
      </c>
      <c r="C25" s="50">
        <v>1750000.0</v>
      </c>
      <c r="D25" s="54">
        <v>45656.0</v>
      </c>
      <c r="E25" s="55">
        <v>1750000.0</v>
      </c>
      <c r="F25" s="50">
        <f t="shared" si="3"/>
        <v>0</v>
      </c>
      <c r="G25" s="50" t="str">
        <f t="shared" si="4"/>
        <v>Lunas</v>
      </c>
      <c r="H25" s="25"/>
      <c r="I25" s="25"/>
      <c r="J25" s="25"/>
      <c r="K25" s="52"/>
      <c r="L25" s="53"/>
      <c r="M25" s="53"/>
      <c r="N25" s="53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48">
        <v>3.0</v>
      </c>
      <c r="B26" s="49" t="s">
        <v>20</v>
      </c>
      <c r="C26" s="50">
        <v>9000000.0</v>
      </c>
      <c r="D26" s="56"/>
      <c r="E26" s="50">
        <v>0.0</v>
      </c>
      <c r="F26" s="50">
        <f t="shared" si="3"/>
        <v>9000000</v>
      </c>
      <c r="G26" s="50" t="s">
        <v>21</v>
      </c>
      <c r="H26" s="57"/>
      <c r="I26" s="25"/>
      <c r="J26" s="25"/>
      <c r="K26" s="52"/>
      <c r="L26" s="53"/>
      <c r="M26" s="53"/>
      <c r="N26" s="53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8">
        <v>4.0</v>
      </c>
      <c r="B27" s="49" t="s">
        <v>22</v>
      </c>
      <c r="C27" s="35"/>
      <c r="D27" s="36"/>
      <c r="E27" s="35"/>
      <c r="F27" s="58"/>
      <c r="G27" s="34"/>
      <c r="H27" s="25"/>
      <c r="I27" s="25"/>
      <c r="J27" s="25"/>
      <c r="K27" s="52"/>
      <c r="L27" s="53"/>
      <c r="M27" s="53"/>
      <c r="N27" s="53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59" t="s">
        <v>23</v>
      </c>
      <c r="B28" s="39"/>
      <c r="C28" s="40">
        <f>sum(C24:C27)</f>
        <v>11150000</v>
      </c>
      <c r="D28" s="60"/>
      <c r="E28" s="41">
        <f>sum(E24:E27)</f>
        <v>2150000</v>
      </c>
      <c r="F28" s="41">
        <f>SUM(F24:F27)</f>
        <v>9000000</v>
      </c>
      <c r="G28" s="42"/>
      <c r="H28" s="43"/>
      <c r="I28" s="43"/>
      <c r="J28" s="43"/>
      <c r="K28" s="44"/>
      <c r="L28" s="45"/>
      <c r="M28" s="45"/>
      <c r="N28" s="45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61" t="s">
        <v>24</v>
      </c>
      <c r="B29" s="39"/>
      <c r="C29" s="62">
        <f>C19+C28</f>
        <v>29150000</v>
      </c>
      <c r="D29" s="63"/>
      <c r="E29" s="64">
        <f>E28+E19</f>
        <v>2150000</v>
      </c>
      <c r="F29" s="65">
        <f>F19+F28</f>
        <v>27000000</v>
      </c>
      <c r="G29" s="66"/>
      <c r="H29" s="43"/>
      <c r="I29" s="43"/>
      <c r="J29" s="43"/>
      <c r="K29" s="44"/>
      <c r="L29" s="45"/>
      <c r="M29" s="45"/>
      <c r="N29" s="45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6"/>
      <c r="B30" s="67"/>
      <c r="E30" s="3"/>
      <c r="F30" s="6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9"/>
      <c r="B31" s="9"/>
      <c r="C31" s="10"/>
      <c r="D31" s="10"/>
      <c r="E31" s="70"/>
      <c r="F31" s="71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2" t="s">
        <v>25</v>
      </c>
      <c r="G32" s="73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2" t="s">
        <v>26</v>
      </c>
      <c r="G33" s="73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2" t="s">
        <v>27</v>
      </c>
      <c r="G34" s="7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28</v>
      </c>
      <c r="B35" s="10"/>
      <c r="C35" s="10"/>
      <c r="D35" s="10"/>
      <c r="E35" s="10"/>
      <c r="F35" s="10"/>
      <c r="G35" s="75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6" t="s">
        <v>29</v>
      </c>
      <c r="G36" s="77">
        <v>46021.0</v>
      </c>
      <c r="H36" s="78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79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9" t="s">
        <v>31</v>
      </c>
      <c r="D38" s="4"/>
      <c r="E38" s="3"/>
      <c r="F38" s="79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8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0" t="s">
        <v>33</v>
      </c>
      <c r="C43" s="10"/>
      <c r="D43" s="4"/>
      <c r="E43" s="3"/>
      <c r="F43" s="81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35</v>
      </c>
      <c r="D44" s="4"/>
      <c r="E44" s="3"/>
      <c r="F44" s="83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8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7"/>
      <c r="D46" s="4"/>
      <c r="E46" s="68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19:B19"/>
    <mergeCell ref="A28:B28"/>
    <mergeCell ref="A29:B29"/>
    <mergeCell ref="B30:D30"/>
    <mergeCell ref="F30:G30"/>
    <mergeCell ref="B31:D31"/>
    <mergeCell ref="F31:G31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