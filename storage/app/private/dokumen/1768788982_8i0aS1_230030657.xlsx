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BmKA7c1yJrGm7vVTauyA6egHS2QNU5nffx2PvAJ+A3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ID#AAABeA7DspM
MBC Consulting    (2025-02-13 07:25:07)
mendapatkan keringanan potongan pembayaran 50%, berdasarkan surat disposisi rektor eksternal_ 100</t>
      </text>
    </comment>
  </commentList>
  <extLst>
    <ext uri="GoogleSheetsCustomDataVersion2">
      <go:sheetsCustomData xmlns:go="http://customooxmlschemas.google.com/" r:id="rId1" roundtripDataSignature="AMtx7mjS7FUVAjeAEn9OwPUk0ulyqLGinA=="/>
    </ext>
  </extLst>
</comments>
</file>

<file path=xl/sharedStrings.xml><?xml version="1.0" encoding="utf-8"?>
<sst xmlns="http://schemas.openxmlformats.org/spreadsheetml/2006/main" count="47" uniqueCount="40">
  <si>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</si>
  <si>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</si>
  <si>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</si>
  <si>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230030657</t>
  </si>
  <si>
    <t>Nama     : Made Widya Kartika</t>
  </si>
  <si>
    <t>Prodi      : SISTEM INFORMASI</t>
  </si>
  <si>
    <r>
      <rPr>
        <rFont val="Times New Roman"/>
        <color rgb="FF000000"/>
        <sz val="15.0"/>
      </rPr>
      <t>I</t>
    </r>
    <r>
      <rPr>
        <rFont val="Times New Roman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</si>
  <si>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</si>
  <si>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</si>
  <si>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</si>
  <si>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Tanggal Pembayaran</t>
  </si>
  <si>
    <t>Pembayaran (Rp.)</t>
  </si>
  <si>
    <t>Hutang (Rp.)</t>
  </si>
  <si>
    <t>Semester I (Ganjil 2023/2024)</t>
  </si>
  <si>
    <t>Semester II (Genap 2023/2024)</t>
  </si>
  <si>
    <t>Semester III (Ganjil 2024/2025)</t>
  </si>
  <si>
    <t xml:space="preserve">Semester IV (Genap 2024/2025) </t>
  </si>
  <si>
    <t>Lunas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</si>
  <si>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</si>
  <si>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</si>
  <si>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Tunggakan (Rp.)</t>
  </si>
  <si>
    <t>Pembayaran Pendaftaran</t>
  </si>
  <si>
    <t>Mahasiswa Poltek Singaraja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</si>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</sst>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  <numFmt numFmtId="168" formatCode="dd-mmm-yyyy"/>
  </numFmts>
  <fonts count="19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sz val="14.0"/>
      <color theme="1"/>
      <name val="Calibri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1.0"/>
      <color theme="1"/>
      <name val="Times New Roman"/>
    </font>
    <font>
      <b/>
      <sz val="21.0"/>
      <color theme="1"/>
      <name val="Calibri"/>
    </font>
    <font>
      <sz val="12.0"/>
      <color theme="1"/>
      <name val="Times New Roman"/>
    </font>
    <font>
      <b/>
      <sz val="12.0"/>
      <color rgb="FF1F1F1F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4" fillId="2" fontId="8" numFmtId="164" xfId="0" applyAlignment="1" applyBorder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right" vertical="center"/>
    </xf>
    <xf borderId="5" fillId="3" fontId="2" numFmtId="0" xfId="0" applyAlignment="1" applyBorder="1" applyFill="1" applyFont="1">
      <alignment shrinkToFit="0" vertical="bottom" wrapText="1"/>
    </xf>
    <xf borderId="4" fillId="0" fontId="2" numFmtId="164" xfId="0" applyAlignment="1" applyBorder="1" applyFont="1" applyNumberFormat="1">
      <alignment horizontal="right" readingOrder="0" vertical="center"/>
    </xf>
    <xf borderId="4" fillId="0" fontId="2" numFmtId="165" xfId="0" applyAlignment="1" applyBorder="1" applyFont="1" applyNumberFormat="1">
      <alignment horizontal="right" vertical="center"/>
    </xf>
    <xf borderId="4" fillId="0" fontId="2" numFmtId="164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shrinkToFit="0" vertical="center" wrapText="1"/>
    </xf>
    <xf borderId="0" fillId="0" fontId="2" numFmtId="167" xfId="0" applyAlignment="1" applyFont="1" applyNumberFormat="1">
      <alignment vertical="bottom"/>
    </xf>
    <xf borderId="3" fillId="0" fontId="9" numFmtId="0" xfId="0" applyAlignment="1" applyBorder="1" applyFont="1">
      <alignment horizontal="right" readingOrder="0" vertical="center"/>
    </xf>
    <xf borderId="3" fillId="3" fontId="2" numFmtId="0" xfId="0" applyAlignment="1" applyBorder="1" applyFont="1">
      <alignment shrinkToFit="0" vertical="bottom" wrapText="1"/>
    </xf>
    <xf borderId="4" fillId="0" fontId="2" numFmtId="165" xfId="0" applyAlignment="1" applyBorder="1" applyFont="1" applyNumberFormat="1">
      <alignment horizontal="right" readingOrder="0" vertical="center"/>
    </xf>
    <xf borderId="3" fillId="3" fontId="2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4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6" fillId="2" fontId="11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1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0" fillId="0" fontId="12" numFmtId="166" xfId="0" applyAlignment="1" applyFont="1" applyNumberFormat="1">
      <alignment vertical="bottom"/>
    </xf>
    <xf borderId="0" fillId="0" fontId="12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3" numFmtId="0" xfId="0" applyAlignment="1" applyFont="1">
      <alignment shrinkToFit="0" vertical="center" wrapText="0"/>
    </xf>
    <xf borderId="3" fillId="3" fontId="14" numFmtId="0" xfId="0" applyAlignment="1" applyBorder="1" applyFont="1">
      <alignment horizontal="center" vertical="center"/>
    </xf>
    <xf borderId="4" fillId="3" fontId="14" numFmtId="0" xfId="0" applyAlignment="1" applyBorder="1" applyFont="1">
      <alignment shrinkToFit="0" vertical="center" wrapText="1"/>
    </xf>
    <xf borderId="7" fillId="0" fontId="15" numFmtId="164" xfId="0" applyAlignment="1" applyBorder="1" applyFont="1" applyNumberForma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3" fillId="3" fontId="16" numFmtId="0" xfId="0" applyAlignment="1" applyBorder="1" applyFont="1">
      <alignment horizontal="center" vertical="center"/>
    </xf>
    <xf borderId="4" fillId="3" fontId="16" numFmtId="0" xfId="0" applyAlignment="1" applyBorder="1" applyFont="1">
      <alignment vertical="center"/>
    </xf>
    <xf borderId="10" fillId="0" fontId="6" numFmtId="0" xfId="0" applyBorder="1" applyFont="1"/>
    <xf borderId="11" fillId="0" fontId="6" numFmtId="0" xfId="0" applyBorder="1" applyFont="1"/>
    <xf borderId="4" fillId="3" fontId="16" numFmtId="0" xfId="0" applyAlignment="1" applyBorder="1" applyFont="1">
      <alignment shrinkToFit="0" vertical="center" wrapText="1"/>
    </xf>
    <xf borderId="6" fillId="0" fontId="6" numFmtId="0" xfId="0" applyBorder="1" applyFont="1"/>
    <xf borderId="4" fillId="0" fontId="6" numFmtId="0" xfId="0" applyBorder="1" applyFont="1"/>
    <xf borderId="6" fillId="2" fontId="11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6" fillId="4" fontId="11" numFmtId="0" xfId="0" applyAlignment="1" applyBorder="1" applyFill="1" applyFont="1">
      <alignment horizontal="center" vertical="center"/>
    </xf>
    <xf borderId="2" fillId="4" fontId="11" numFmtId="164" xfId="0" applyAlignment="1" applyBorder="1" applyFont="1" applyNumberFormat="1">
      <alignment horizontal="center" vertical="center"/>
    </xf>
    <xf borderId="4" fillId="4" fontId="11" numFmtId="0" xfId="0" applyAlignment="1" applyBorder="1" applyFont="1">
      <alignment horizontal="center" vertical="center"/>
    </xf>
    <xf borderId="4" fillId="4" fontId="11" numFmtId="164" xfId="0" applyAlignment="1" applyBorder="1" applyFont="1" applyNumberFormat="1">
      <alignment horizontal="center" vertical="center"/>
    </xf>
    <xf borderId="11" fillId="4" fontId="12" numFmtId="164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vertical="center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16" numFmtId="0" xfId="0" applyAlignment="1" applyBorder="1" applyFont="1">
      <alignment vertical="center"/>
    </xf>
    <xf borderId="13" fillId="0" fontId="6" numFmtId="0" xfId="0" applyBorder="1" applyFont="1"/>
    <xf borderId="14" fillId="0" fontId="16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8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8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86"/>
    <col customWidth="1" min="3" max="7" width="17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6</v>
      </c>
      <c r="B12" s="15"/>
      <c r="C12" s="16"/>
      <c r="D12" s="17"/>
      <c r="E12" s="16"/>
      <c r="F12" s="16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2" t="s">
        <v>12</v>
      </c>
      <c r="G13" s="19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3">
        <v>1.0</v>
      </c>
      <c r="B14" s="24" t="s">
        <v>13</v>
      </c>
      <c r="C14" s="25">
        <v>0.0</v>
      </c>
      <c r="D14" s="26"/>
      <c r="E14" s="27">
        <v>0.0</v>
      </c>
      <c r="F14" s="27">
        <f t="shared" ref="F14:F17" si="1">C14-E14</f>
        <v>0</v>
      </c>
      <c r="G14" s="28" t="str">
        <f t="shared" ref="G14:G16" si="2">if(C14&gt;=F14,"Lunas","Tunggakan")</f>
        <v>Lunas</v>
      </c>
      <c r="H14" s="5"/>
      <c r="I14" s="2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0">
        <v>2.0</v>
      </c>
      <c r="B15" s="31" t="s">
        <v>14</v>
      </c>
      <c r="C15" s="25">
        <v>4300000.0</v>
      </c>
      <c r="D15" s="32">
        <v>45321.0</v>
      </c>
      <c r="E15" s="25">
        <v>4300000.0</v>
      </c>
      <c r="F15" s="27">
        <f t="shared" si="1"/>
        <v>0</v>
      </c>
      <c r="G15" s="28" t="str">
        <f t="shared" si="2"/>
        <v>Lunas</v>
      </c>
      <c r="H15" s="5"/>
      <c r="I15" s="2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0">
        <v>3.0</v>
      </c>
      <c r="B16" s="33" t="s">
        <v>15</v>
      </c>
      <c r="C16" s="25">
        <v>4300000.0</v>
      </c>
      <c r="D16" s="32">
        <v>45519.0</v>
      </c>
      <c r="E16" s="25">
        <v>4300000.0</v>
      </c>
      <c r="F16" s="27">
        <f t="shared" si="1"/>
        <v>0</v>
      </c>
      <c r="G16" s="28" t="str">
        <f t="shared" si="2"/>
        <v>Lunas</v>
      </c>
      <c r="H16" s="5"/>
      <c r="I16" s="2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4">
        <v>4.0</v>
      </c>
      <c r="B17" s="35" t="s">
        <v>16</v>
      </c>
      <c r="C17" s="36">
        <v>2150000.0</v>
      </c>
      <c r="D17" s="37">
        <v>45701.0</v>
      </c>
      <c r="E17" s="36">
        <v>2150000.0</v>
      </c>
      <c r="F17" s="36">
        <f t="shared" si="1"/>
        <v>0</v>
      </c>
      <c r="G17" s="38" t="s">
        <v>17</v>
      </c>
      <c r="H17" s="5"/>
      <c r="I17" s="2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9"/>
      <c r="B18" s="40"/>
      <c r="C18" s="41"/>
      <c r="D18" s="42"/>
      <c r="E18" s="41"/>
      <c r="F18" s="41"/>
      <c r="G18" s="43"/>
      <c r="H18" s="5"/>
      <c r="I18" s="2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4" t="s">
        <v>18</v>
      </c>
      <c r="B19" s="45"/>
      <c r="C19" s="46">
        <f>sum(C14:C18)</f>
        <v>10750000</v>
      </c>
      <c r="D19" s="47"/>
      <c r="E19" s="47">
        <f t="shared" ref="E19:F19" si="3">SUM(E14:E18)</f>
        <v>10750000</v>
      </c>
      <c r="F19" s="48">
        <f t="shared" si="3"/>
        <v>0</v>
      </c>
      <c r="G19" s="49"/>
      <c r="H19" s="50"/>
      <c r="I19" s="50"/>
      <c r="J19" s="50"/>
      <c r="K19" s="51"/>
      <c r="L19" s="52"/>
      <c r="M19" s="52"/>
      <c r="N19" s="52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3"/>
      <c r="B20" s="53"/>
      <c r="C20" s="3"/>
      <c r="D20" s="4"/>
      <c r="E20" s="3"/>
      <c r="F20" s="3"/>
      <c r="G20" s="2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4" t="s">
        <v>19</v>
      </c>
      <c r="B21" s="2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/>
      <c r="B22" s="15"/>
      <c r="C22" s="16"/>
      <c r="D22" s="17"/>
      <c r="E22" s="16"/>
      <c r="F22" s="16"/>
      <c r="G22" s="15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7</v>
      </c>
      <c r="B23" s="19" t="s">
        <v>8</v>
      </c>
      <c r="C23" s="20" t="s">
        <v>9</v>
      </c>
      <c r="D23" s="21" t="s">
        <v>10</v>
      </c>
      <c r="E23" s="20" t="s">
        <v>11</v>
      </c>
      <c r="F23" s="20" t="s">
        <v>20</v>
      </c>
      <c r="G23" s="19" t="s">
        <v>8</v>
      </c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5">
        <v>1.0</v>
      </c>
      <c r="B24" s="56" t="s">
        <v>21</v>
      </c>
      <c r="C24" s="57" t="s">
        <v>22</v>
      </c>
      <c r="D24" s="58"/>
      <c r="E24" s="58"/>
      <c r="F24" s="58"/>
      <c r="G24" s="59"/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0">
        <v>2.0</v>
      </c>
      <c r="B25" s="61" t="s">
        <v>23</v>
      </c>
      <c r="C25" s="62"/>
      <c r="G25" s="63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0">
        <v>3.0</v>
      </c>
      <c r="B26" s="64" t="s">
        <v>24</v>
      </c>
      <c r="C26" s="62"/>
      <c r="G26" s="63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0">
        <v>4.0</v>
      </c>
      <c r="B27" s="64" t="s">
        <v>25</v>
      </c>
      <c r="C27" s="65"/>
      <c r="D27" s="45"/>
      <c r="E27" s="45"/>
      <c r="F27" s="45"/>
      <c r="G27" s="66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7" t="s">
        <v>26</v>
      </c>
      <c r="B28" s="45"/>
      <c r="C28" s="46">
        <f>sum(C24)</f>
        <v>0</v>
      </c>
      <c r="D28" s="68"/>
      <c r="E28" s="47">
        <f>sum(E24:E27)</f>
        <v>0</v>
      </c>
      <c r="F28" s="47">
        <f>SUM(F24:F27)</f>
        <v>0</v>
      </c>
      <c r="G28" s="49"/>
      <c r="H28" s="50"/>
      <c r="I28" s="50"/>
      <c r="J28" s="50"/>
      <c r="K28" s="51"/>
      <c r="L28" s="52"/>
      <c r="M28" s="52"/>
      <c r="N28" s="52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69" t="s">
        <v>27</v>
      </c>
      <c r="B29" s="45"/>
      <c r="C29" s="70">
        <f>C19+C28</f>
        <v>10750000</v>
      </c>
      <c r="D29" s="71"/>
      <c r="E29" s="72">
        <f>E28+E19</f>
        <v>10750000</v>
      </c>
      <c r="F29" s="73">
        <f>F19+F28</f>
        <v>0</v>
      </c>
      <c r="G29" s="74"/>
      <c r="H29" s="75"/>
      <c r="I29" s="75"/>
      <c r="J29" s="75"/>
      <c r="K29" s="76"/>
      <c r="L29" s="77"/>
      <c r="M29" s="77"/>
      <c r="N29" s="77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53"/>
      <c r="B30" s="78"/>
      <c r="E30" s="3"/>
      <c r="F30" s="79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0"/>
      <c r="B31" s="10"/>
      <c r="C31" s="11"/>
      <c r="D31" s="11"/>
      <c r="E31" s="81"/>
      <c r="F31" s="82"/>
      <c r="G31" s="1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3" t="s">
        <v>28</v>
      </c>
      <c r="G32" s="84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3" t="s">
        <v>29</v>
      </c>
      <c r="G33" s="84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3" t="s">
        <v>30</v>
      </c>
      <c r="G34" s="84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5" t="s">
        <v>31</v>
      </c>
      <c r="B35" s="11"/>
      <c r="C35" s="11"/>
      <c r="D35" s="11"/>
      <c r="E35" s="11"/>
      <c r="F35" s="11"/>
      <c r="G35" s="86"/>
      <c r="H35" s="87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9.25" customHeight="1">
      <c r="A36" s="2"/>
      <c r="B36" s="2"/>
      <c r="C36" s="3"/>
      <c r="D36" s="4"/>
      <c r="E36" s="3"/>
      <c r="F36" s="88" t="s">
        <v>32</v>
      </c>
      <c r="G36" s="89">
        <v>45713.0</v>
      </c>
      <c r="H36" s="90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6.75" customHeight="1">
      <c r="A37" s="2"/>
      <c r="B37" s="3"/>
      <c r="C37" s="3"/>
      <c r="D37" s="4"/>
      <c r="E37" s="3"/>
      <c r="F37" s="91" t="s">
        <v>33</v>
      </c>
      <c r="H37" s="92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91" t="s">
        <v>34</v>
      </c>
      <c r="D38" s="4"/>
      <c r="E38" s="3"/>
      <c r="F38" s="91" t="s">
        <v>35</v>
      </c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2"/>
      <c r="C39" s="3"/>
      <c r="D39" s="4"/>
      <c r="E39" s="3"/>
      <c r="F39" s="3"/>
      <c r="G39" s="4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2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79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3"/>
      <c r="C42" s="3"/>
      <c r="D42" s="4"/>
      <c r="E42" s="3"/>
      <c r="F42" s="3"/>
      <c r="G42" s="3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93" t="s">
        <v>36</v>
      </c>
      <c r="C43" s="11"/>
      <c r="D43" s="4"/>
      <c r="E43" s="3"/>
      <c r="F43" s="94" t="s">
        <v>37</v>
      </c>
      <c r="G43" s="11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95" t="s">
        <v>38</v>
      </c>
      <c r="D44" s="4"/>
      <c r="E44" s="3"/>
      <c r="F44" s="96" t="s">
        <v>39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79"/>
      <c r="G45" s="2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78"/>
      <c r="D46" s="4"/>
      <c r="E46" s="79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3"/>
      <c r="G47" s="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4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4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4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4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C24:G27"/>
    <mergeCell ref="B30:D30"/>
    <mergeCell ref="F30:G30"/>
    <mergeCell ref="F31:G31"/>
    <mergeCell ref="A19:B19"/>
    <mergeCell ref="A28:B28"/>
    <mergeCell ref="A29:B29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