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Rp1zt1RkwDmnpeW1N2hMwM3CnkhaErYWkgREKpKwX10="/>
    </ext>
  </extLst>
</workbook>
</file>

<file path=xl/sharedStrings.xml><?xml version="1.0" encoding="utf-8"?>
<sst xmlns="http://schemas.openxmlformats.org/spreadsheetml/2006/main" count="50" uniqueCount="41">
  <si>
    <t xml:space="preserve">                   </t>
  </si>
  <si>
    <t xml:space="preserve">KELAS EKSEKUTIF                                                
</t>
  </si>
  <si>
    <t>RINCIAN PEMBAYARAN MAHASISWA KELAS EKSEKUTIF</t>
  </si>
  <si>
    <t>Nim       : 230030150</t>
  </si>
  <si>
    <t>Nama     : Chayrul Hamzah</t>
  </si>
  <si>
    <t>Prodi      : S1-SISTEM INFORMASI</t>
  </si>
  <si>
    <r>
      <rPr>
        <rFont val="Calibri"/>
        <color rgb="FF000000"/>
        <sz val="15.0"/>
      </rPr>
      <t>I</t>
    </r>
    <r>
      <rPr>
        <rFont val="Calibri"/>
        <b/>
        <color rgb="FF000000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</si>
  <si>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</si>
  <si>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</si>
  <si>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</si>
  <si>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</si>
  <si>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</si>
  <si>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</si>
  <si>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Semester Ganjil 2023/2024</t>
  </si>
  <si>
    <t>Semester Genap 2023/2024</t>
  </si>
  <si>
    <t>Semester Ganjil 2024/2025</t>
  </si>
  <si>
    <t>Lunas</t>
  </si>
  <si>
    <t>Semester Genap 2024/2025</t>
  </si>
  <si>
    <t xml:space="preserve">Lunas </t>
  </si>
  <si>
    <t>23 Mei 2025</t>
  </si>
  <si>
    <t>Semester Ganjil 2025/2026</t>
  </si>
  <si>
    <t xml:space="preserve">Tunggakan </t>
  </si>
  <si>
    <t xml:space="preserve">Total </t>
  </si>
  <si>
    <r>
      <rPr>
        <rFont val="Calibri"/>
        <color rgb="FF000000"/>
        <sz val="16.0"/>
      </rPr>
      <t>II</t>
    </r>
    <r>
      <rPr>
        <rFont val="Calibri"/>
        <b/>
        <color rgb="FF000000"/>
        <sz val="16.0"/>
      </rPr>
      <t>. Biaya Lain-lain</t>
    </r>
  </si>
  <si>
    <t>Pembayaran Pendaftaran</t>
  </si>
  <si>
    <t>Orientasi + Almamater</t>
  </si>
  <si>
    <t>DPP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</si>
  <si>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</si>
  <si>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</si>
  <si>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</si>
  <si>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</si>
  <si>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</si>
  <si>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</si>
  <si>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</si>
  <si>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</si>
  <si>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</si>
  <si>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</si>
  <si>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</si>
  <si>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I Gst Ayu Alit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</si>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</sst>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p]#,##0"/>
    <numFmt numFmtId="165" formatCode="d&quot;-&quot;mmm&quot;-&quot;yyyy"/>
    <numFmt numFmtId="166" formatCode="[$-409]d\-mmm\-yy"/>
    <numFmt numFmtId="167" formatCode="_-&quot;Rp&quot;* #,##0_-;\-&quot;Rp&quot;* #,##0_-;_-&quot;Rp&quot;* &quot;-&quot;_-;_-@"/>
    <numFmt numFmtId="168" formatCode="_(* #,##0.00_);_(* \(#,##0.00\);_(* &quot;-&quot;??_);_(@_)"/>
  </numFmts>
  <fonts count="14">
    <font>
      <sz val="11.0"/>
      <color theme="1"/>
      <name val="Calibri"/>
      <scheme val="minor"/>
    </font>
    <font>
      <b/>
      <sz val="12.0"/>
      <color rgb="FF000000"/>
      <name val="Calibri"/>
    </font>
    <font>
      <sz val="11.0"/>
      <color rgb="FF000000"/>
      <name val="Calibri"/>
    </font>
    <font>
      <b/>
      <sz val="29.0"/>
      <color rgb="FF000000"/>
      <name val="Calibri"/>
    </font>
    <font>
      <sz val="16.0"/>
      <color rgb="FF000000"/>
      <name val="Calibri"/>
    </font>
    <font>
      <color rgb="FF000000"/>
      <name val="Calibri"/>
    </font>
    <font/>
    <font>
      <sz val="15.0"/>
      <color rgb="FF000000"/>
      <name val="Calibri"/>
    </font>
    <font>
      <b/>
      <sz val="15.0"/>
      <color rgb="FF000000"/>
      <name val="Calibri"/>
    </font>
    <font>
      <sz val="14.0"/>
      <color rgb="FF000000"/>
      <name val="Calibri"/>
    </font>
    <font>
      <b/>
      <sz val="14.0"/>
      <color rgb="FF000000"/>
      <name val="Calibri"/>
    </font>
    <font>
      <b/>
      <sz val="16.0"/>
      <color rgb="FF000000"/>
      <name val="Calibri"/>
    </font>
    <font>
      <sz val="12.0"/>
      <color rgb="FF000000"/>
      <name val="Calibri"/>
    </font>
    <font>
      <b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3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5" fillId="3" fontId="2" numFmtId="0" xfId="0" applyAlignment="1" applyBorder="1" applyFill="1" applyFont="1">
      <alignment horizontal="left" shrinkToFit="0" vertical="center" wrapText="1"/>
    </xf>
    <xf borderId="5" fillId="3" fontId="2" numFmtId="167" xfId="0" applyAlignment="1" applyBorder="1" applyFont="1" applyNumberFormat="1">
      <alignment horizontal="left" shrinkToFit="0" vertical="center" wrapText="1"/>
    </xf>
    <xf borderId="6" fillId="0" fontId="2" numFmtId="166" xfId="0" applyAlignment="1" applyBorder="1" applyFont="1" applyNumberFormat="1">
      <alignment horizontal="left" vertical="center"/>
    </xf>
    <xf borderId="6" fillId="0" fontId="2" numFmtId="167" xfId="0" applyAlignment="1" applyBorder="1" applyFont="1" applyNumberFormat="1">
      <alignment horizontal="left" vertical="center"/>
    </xf>
    <xf borderId="5" fillId="0" fontId="2" numFmtId="167" xfId="0" applyAlignment="1" applyBorder="1" applyFont="1" applyNumberFormat="1">
      <alignment horizontal="left" vertical="center"/>
    </xf>
    <xf borderId="5" fillId="3" fontId="2" numFmtId="0" xfId="0" applyAlignment="1" applyBorder="1" applyFont="1">
      <alignment horizontal="left" vertical="center"/>
    </xf>
    <xf borderId="0" fillId="0" fontId="2" numFmtId="168" xfId="0" applyAlignment="1" applyFont="1" applyNumberFormat="1">
      <alignment vertical="center"/>
    </xf>
    <xf borderId="3" fillId="0" fontId="6" numFmtId="0" xfId="0" applyBorder="1" applyFont="1"/>
    <xf borderId="6" fillId="0" fontId="2" numFmtId="166" xfId="0" applyAlignment="1" applyBorder="1" applyFont="1" applyNumberFormat="1">
      <alignment horizontal="left" readingOrder="0" vertical="center"/>
    </xf>
    <xf borderId="6" fillId="0" fontId="2" numFmtId="167" xfId="0" applyAlignment="1" applyBorder="1" applyFont="1" applyNumberFormat="1">
      <alignment horizontal="left" readingOrder="0" vertical="center"/>
    </xf>
    <xf borderId="5" fillId="0" fontId="9" numFmtId="0" xfId="0" applyAlignment="1" applyBorder="1" applyFont="1">
      <alignment horizontal="center" readingOrder="0" vertical="center"/>
    </xf>
    <xf borderId="5" fillId="3" fontId="2" numFmtId="0" xfId="0" applyAlignment="1" applyBorder="1" applyFont="1">
      <alignment horizontal="left" readingOrder="0" shrinkToFit="0" vertical="center" wrapText="1"/>
    </xf>
    <xf borderId="5" fillId="3" fontId="2" numFmtId="167" xfId="0" applyAlignment="1" applyBorder="1" applyFont="1" applyNumberFormat="1">
      <alignment horizontal="left" readingOrder="0" shrinkToFit="0" vertical="center" wrapText="1"/>
    </xf>
    <xf borderId="5" fillId="3" fontId="2" numFmtId="0" xfId="0" applyAlignment="1" applyBorder="1" applyFont="1">
      <alignment horizontal="left" readingOrder="0" vertical="center"/>
    </xf>
    <xf borderId="5" fillId="4" fontId="2" numFmtId="0" xfId="0" applyAlignment="1" applyBorder="1" applyFill="1" applyFont="1">
      <alignment readingOrder="0" shrinkToFit="0" vertical="center" wrapText="1"/>
    </xf>
    <xf borderId="5" fillId="0" fontId="2" numFmtId="164" xfId="0" applyAlignment="1" applyBorder="1" applyFont="1" applyNumberFormat="1">
      <alignment readingOrder="0" vertical="center"/>
    </xf>
    <xf borderId="6" fillId="0" fontId="2" numFmtId="165" xfId="0" applyAlignment="1" applyBorder="1" applyFont="1" applyNumberFormat="1">
      <alignment horizontal="left" readingOrder="0" vertical="center"/>
    </xf>
    <xf borderId="6" fillId="0" fontId="2" numFmtId="164" xfId="0" applyAlignment="1" applyBorder="1" applyFont="1" applyNumberFormat="1">
      <alignment readingOrder="0" vertical="center"/>
    </xf>
    <xf borderId="5" fillId="0" fontId="2" numFmtId="0" xfId="0" applyAlignment="1" applyBorder="1" applyFont="1">
      <alignment readingOrder="0" vertical="center"/>
    </xf>
    <xf borderId="6" fillId="0" fontId="2" numFmtId="0" xfId="0" applyAlignment="1" applyBorder="1" applyFont="1">
      <alignment readingOrder="0" vertical="center"/>
    </xf>
    <xf borderId="6" fillId="0" fontId="2" numFmtId="0" xfId="0" applyAlignment="1" applyBorder="1" applyFont="1">
      <alignment horizontal="center" readingOrder="0" vertical="center"/>
    </xf>
    <xf borderId="6" fillId="4" fontId="2" numFmtId="0" xfId="0" applyAlignment="1" applyBorder="1" applyFont="1">
      <alignment readingOrder="0" vertical="center"/>
    </xf>
    <xf borderId="6" fillId="0" fontId="2" numFmtId="164" xfId="0" applyAlignment="1" applyBorder="1" applyFont="1" applyNumberFormat="1">
      <alignment vertical="center"/>
    </xf>
    <xf borderId="7" fillId="2" fontId="10" numFmtId="164" xfId="0" applyAlignment="1" applyBorder="1" applyFont="1" applyNumberFormat="1">
      <alignment horizontal="center" vertical="center"/>
    </xf>
    <xf borderId="8" fillId="0" fontId="6" numFmtId="0" xfId="0" applyBorder="1" applyFont="1"/>
    <xf borderId="6" fillId="2" fontId="10" numFmtId="164" xfId="0" applyAlignment="1" applyBorder="1" applyFont="1" applyNumberFormat="1">
      <alignment horizontal="center" vertical="center"/>
    </xf>
    <xf borderId="6" fillId="2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4" fontId="2" numFmtId="0" xfId="0" applyAlignment="1" applyFont="1">
      <alignment vertical="center"/>
    </xf>
    <xf borderId="0" fillId="0" fontId="4" numFmtId="0" xfId="0" applyAlignment="1" applyFont="1">
      <alignment shrinkToFit="0" vertical="center" wrapText="0"/>
    </xf>
    <xf borderId="3" fillId="2" fontId="11" numFmtId="0" xfId="0" applyAlignment="1" applyBorder="1" applyFont="1">
      <alignment horizontal="center" shrinkToFit="0" vertical="center" wrapText="1"/>
    </xf>
    <xf borderId="4" fillId="2" fontId="11" numFmtId="0" xfId="0" applyAlignment="1" applyBorder="1" applyFont="1">
      <alignment horizontal="center" shrinkToFit="0" vertical="center" wrapText="1"/>
    </xf>
    <xf borderId="4" fillId="2" fontId="11" numFmtId="164" xfId="0" applyAlignment="1" applyBorder="1" applyFont="1" applyNumberFormat="1">
      <alignment horizontal="center" shrinkToFit="0" vertical="center" wrapText="1"/>
    </xf>
    <xf borderId="4" fillId="2" fontId="11" numFmtId="165" xfId="0" applyAlignment="1" applyBorder="1" applyFont="1" applyNumberFormat="1">
      <alignment horizontal="center" shrinkToFit="0" vertical="center" wrapText="1"/>
    </xf>
    <xf borderId="3" fillId="4" fontId="12" numFmtId="0" xfId="0" applyAlignment="1" applyBorder="1" applyFont="1">
      <alignment horizontal="center" vertical="center"/>
    </xf>
    <xf borderId="4" fillId="4" fontId="12" numFmtId="0" xfId="0" applyAlignment="1" applyBorder="1" applyFont="1">
      <alignment shrinkToFit="0" vertical="center" wrapText="1"/>
    </xf>
    <xf borderId="4" fillId="0" fontId="2" numFmtId="164" xfId="0" applyAlignment="1" applyBorder="1" applyFont="1" applyNumberFormat="1">
      <alignment readingOrder="0" vertical="center"/>
    </xf>
    <xf borderId="4" fillId="0" fontId="2" numFmtId="165" xfId="0" applyAlignment="1" applyBorder="1" applyFont="1" applyNumberFormat="1">
      <alignment vertical="center"/>
    </xf>
    <xf borderId="4" fillId="4" fontId="2" numFmtId="164" xfId="0" applyAlignment="1" applyBorder="1" applyFont="1" applyNumberFormat="1">
      <alignment readingOrder="0" vertical="center"/>
    </xf>
    <xf borderId="4" fillId="4" fontId="2" numFmtId="164" xfId="0" applyAlignment="1" applyBorder="1" applyFont="1" applyNumberFormat="1">
      <alignment vertical="center"/>
    </xf>
    <xf borderId="4" fillId="4" fontId="2" numFmtId="0" xfId="0" applyAlignment="1" applyBorder="1" applyFont="1">
      <alignment vertical="center"/>
    </xf>
    <xf borderId="4" fillId="4" fontId="12" numFmtId="0" xfId="0" applyAlignment="1" applyBorder="1" applyFont="1">
      <alignment readingOrder="0" vertical="center"/>
    </xf>
    <xf borderId="4" fillId="0" fontId="2" numFmtId="165" xfId="0" applyAlignment="1" applyBorder="1" applyFont="1" applyNumberFormat="1">
      <alignment readingOrder="0" vertical="center"/>
    </xf>
    <xf borderId="4" fillId="4" fontId="2" numFmtId="0" xfId="0" applyAlignment="1" applyBorder="1" applyFont="1">
      <alignment readingOrder="0" vertical="center"/>
    </xf>
    <xf borderId="4" fillId="4" fontId="12" numFmtId="0" xfId="0" applyAlignment="1" applyBorder="1" applyFont="1">
      <alignment readingOrder="0" shrinkToFit="0" vertical="center" wrapText="1"/>
    </xf>
    <xf borderId="7" fillId="2" fontId="9" numFmtId="0" xfId="0" applyAlignment="1" applyBorder="1" applyFont="1">
      <alignment horizontal="center" vertical="center"/>
    </xf>
    <xf borderId="6" fillId="2" fontId="9" numFmtId="164" xfId="0" applyAlignment="1" applyBorder="1" applyFont="1" applyNumberFormat="1">
      <alignment horizontal="center" vertical="center"/>
    </xf>
    <xf borderId="6" fillId="2" fontId="9" numFmtId="0" xfId="0" applyAlignment="1" applyBorder="1" applyFont="1">
      <alignment horizontal="center" vertical="center"/>
    </xf>
    <xf borderId="6" fillId="2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0" fillId="0" fontId="9" numFmtId="166" xfId="0" applyAlignment="1" applyFont="1" applyNumberFormat="1">
      <alignment vertical="center"/>
    </xf>
    <xf borderId="0" fillId="0" fontId="9" numFmtId="3" xfId="0" applyAlignment="1" applyFont="1" applyNumberFormat="1">
      <alignment vertical="center"/>
    </xf>
    <xf borderId="7" fillId="5" fontId="10" numFmtId="0" xfId="0" applyAlignment="1" applyBorder="1" applyFill="1" applyFont="1">
      <alignment horizontal="center" vertical="center"/>
    </xf>
    <xf borderId="6" fillId="5" fontId="10" numFmtId="164" xfId="0" applyAlignment="1" applyBorder="1" applyFont="1" applyNumberFormat="1">
      <alignment horizontal="center" vertical="center"/>
    </xf>
    <xf borderId="6" fillId="5" fontId="10" numFmtId="0" xfId="0" applyAlignment="1" applyBorder="1" applyFont="1">
      <alignment horizontal="center" vertical="center"/>
    </xf>
    <xf borderId="6" fillId="5" fontId="9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" fillId="4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9" fillId="0" fontId="12" numFmtId="0" xfId="0" applyAlignment="1" applyBorder="1" applyFont="1">
      <alignment vertical="center"/>
    </xf>
    <xf borderId="10" fillId="0" fontId="6" numFmtId="0" xfId="0" applyBorder="1" applyFont="1"/>
    <xf borderId="11" fillId="0" fontId="12" numFmtId="0" xfId="0" applyAlignment="1" applyBorder="1" applyFont="1">
      <alignment vertical="center"/>
    </xf>
    <xf borderId="12" fillId="0" fontId="6" numFmtId="0" xfId="0" applyBorder="1" applyFont="1"/>
    <xf borderId="0" fillId="0" fontId="1" numFmtId="164" xfId="0" applyAlignment="1" applyFont="1" applyNumberFormat="1">
      <alignment horizontal="right" vertical="center"/>
    </xf>
    <xf borderId="0" fillId="4" fontId="1" numFmtId="165" xfId="0" applyAlignment="1" applyFont="1" applyNumberFormat="1">
      <alignment horizontal="left" readingOrder="0" vertical="center"/>
    </xf>
    <xf borderId="0" fillId="4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3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43100" cy="1219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4.14"/>
    <col customWidth="1" min="3" max="3" width="25.57"/>
    <col customWidth="1" min="4" max="4" width="17.57"/>
    <col customWidth="1" min="5" max="6" width="18.71"/>
    <col customWidth="1" min="7" max="7" width="17.43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7.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3"/>
      <c r="D4" s="4"/>
      <c r="E4" s="3"/>
      <c r="F4" s="3"/>
      <c r="G4" s="2"/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8" t="s">
        <v>2</v>
      </c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/>
      <c r="B6" s="10"/>
      <c r="C6" s="10"/>
      <c r="D6" s="10"/>
      <c r="E6" s="10"/>
      <c r="F6" s="10"/>
      <c r="G6" s="10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3"/>
      <c r="D7" s="4"/>
      <c r="E7" s="3"/>
      <c r="F7" s="3"/>
      <c r="G7" s="2"/>
      <c r="H7" s="2"/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3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4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" t="s">
        <v>5</v>
      </c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/>
      <c r="B11" s="10"/>
      <c r="C11" s="10"/>
      <c r="D11" s="10"/>
      <c r="E11" s="10"/>
      <c r="F11" s="10"/>
      <c r="G11" s="10"/>
      <c r="H11" s="2"/>
      <c r="I11" s="2"/>
      <c r="J11" s="2"/>
      <c r="K11" s="5"/>
      <c r="L11" s="6"/>
      <c r="M11" s="6"/>
      <c r="N11" s="6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3"/>
      <c r="D12" s="4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 t="s">
        <v>6</v>
      </c>
      <c r="B13" s="14"/>
      <c r="C13" s="15"/>
      <c r="D13" s="16"/>
      <c r="E13" s="15"/>
      <c r="F13" s="15"/>
      <c r="G13" s="1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7" t="s">
        <v>7</v>
      </c>
      <c r="B14" s="18" t="s">
        <v>8</v>
      </c>
      <c r="C14" s="19" t="s">
        <v>9</v>
      </c>
      <c r="D14" s="20" t="s">
        <v>10</v>
      </c>
      <c r="E14" s="19" t="s">
        <v>11</v>
      </c>
      <c r="F14" s="19" t="s">
        <v>12</v>
      </c>
      <c r="G14" s="18" t="s">
        <v>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1">
        <v>1.0</v>
      </c>
      <c r="B15" s="22" t="s">
        <v>13</v>
      </c>
      <c r="C15" s="23">
        <v>5500000.0</v>
      </c>
      <c r="D15" s="24">
        <v>45176.0</v>
      </c>
      <c r="E15" s="25">
        <v>2750000.0</v>
      </c>
      <c r="F15" s="26">
        <f>C15-E15-E16</f>
        <v>0</v>
      </c>
      <c r="G15" s="27" t="str">
        <f>if(F15&lt;=C15,"Lunas","Tunggakan")</f>
        <v>Lunas</v>
      </c>
      <c r="H15" s="2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9"/>
      <c r="B16" s="29"/>
      <c r="C16" s="29"/>
      <c r="D16" s="30">
        <v>45530.0</v>
      </c>
      <c r="E16" s="31">
        <v>2750000.0</v>
      </c>
      <c r="F16" s="29"/>
      <c r="G16" s="29"/>
      <c r="H16" s="2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2">
        <v>2.0</v>
      </c>
      <c r="B17" s="33" t="s">
        <v>14</v>
      </c>
      <c r="C17" s="34">
        <v>5500000.0</v>
      </c>
      <c r="D17" s="30">
        <v>45338.0</v>
      </c>
      <c r="E17" s="31">
        <v>2750000.0</v>
      </c>
      <c r="F17" s="26">
        <f>C17-E17-E18</f>
        <v>0</v>
      </c>
      <c r="G17" s="27" t="str">
        <f>if(F17&lt;=C17,"Lunas","Tunggakan")</f>
        <v>Lunas</v>
      </c>
      <c r="H17" s="2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9"/>
      <c r="B18" s="29"/>
      <c r="C18" s="29"/>
      <c r="D18" s="30">
        <v>45530.0</v>
      </c>
      <c r="E18" s="31">
        <f>C17-E17</f>
        <v>2750000</v>
      </c>
      <c r="F18" s="29"/>
      <c r="G18" s="29"/>
      <c r="H18" s="2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2">
        <v>3.0</v>
      </c>
      <c r="B19" s="33" t="s">
        <v>15</v>
      </c>
      <c r="C19" s="34">
        <v>5500000.0</v>
      </c>
      <c r="D19" s="30">
        <v>45530.0</v>
      </c>
      <c r="E19" s="31">
        <v>2750000.0</v>
      </c>
      <c r="F19" s="26">
        <f>C19-E19-E20</f>
        <v>0</v>
      </c>
      <c r="G19" s="35" t="s">
        <v>16</v>
      </c>
      <c r="H19" s="2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9"/>
      <c r="B20" s="29"/>
      <c r="C20" s="29"/>
      <c r="D20" s="30">
        <v>45705.0</v>
      </c>
      <c r="E20" s="31">
        <v>2750000.0</v>
      </c>
      <c r="F20" s="29"/>
      <c r="G20" s="29"/>
      <c r="H20" s="2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2">
        <v>4.0</v>
      </c>
      <c r="B21" s="36" t="s">
        <v>17</v>
      </c>
      <c r="C21" s="37">
        <v>5500000.0</v>
      </c>
      <c r="D21" s="38">
        <v>45705.0</v>
      </c>
      <c r="E21" s="39">
        <v>2750000.0</v>
      </c>
      <c r="F21" s="37">
        <f>C21-E21-E22-250000</f>
        <v>0</v>
      </c>
      <c r="G21" s="40" t="s">
        <v>18</v>
      </c>
      <c r="H21" s="2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9"/>
      <c r="B22" s="29"/>
      <c r="C22" s="29"/>
      <c r="D22" s="41" t="s">
        <v>19</v>
      </c>
      <c r="E22" s="39">
        <v>2500000.0</v>
      </c>
      <c r="F22" s="29"/>
      <c r="G22" s="29"/>
      <c r="H22" s="2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2">
        <v>5.0</v>
      </c>
      <c r="B23" s="43" t="s">
        <v>20</v>
      </c>
      <c r="C23" s="39">
        <v>5500000.0</v>
      </c>
      <c r="D23" s="38">
        <v>45937.0</v>
      </c>
      <c r="E23" s="39">
        <v>3000000.0</v>
      </c>
      <c r="F23" s="44">
        <f>C23-2750000</f>
        <v>2750000</v>
      </c>
      <c r="G23" s="41" t="s">
        <v>21</v>
      </c>
      <c r="H23" s="2"/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5" t="s">
        <v>22</v>
      </c>
      <c r="B24" s="46"/>
      <c r="C24" s="47">
        <f>SUM(C15:C23)</f>
        <v>27500000</v>
      </c>
      <c r="D24" s="47"/>
      <c r="E24" s="47">
        <f t="shared" ref="E24:F24" si="1">SUM(E15:E23)</f>
        <v>24750000</v>
      </c>
      <c r="F24" s="47">
        <f t="shared" si="1"/>
        <v>2750000</v>
      </c>
      <c r="G24" s="48"/>
      <c r="H24" s="49"/>
      <c r="I24" s="49"/>
      <c r="J24" s="49"/>
      <c r="K24" s="50"/>
      <c r="L24" s="51"/>
      <c r="M24" s="51"/>
      <c r="N24" s="51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>
      <c r="A25" s="52"/>
      <c r="B25" s="52"/>
      <c r="C25" s="3"/>
      <c r="D25" s="4"/>
      <c r="E25" s="3"/>
      <c r="F25" s="3"/>
      <c r="G25" s="2"/>
      <c r="H25" s="2"/>
      <c r="I25" s="2"/>
      <c r="J25" s="2"/>
      <c r="K25" s="5"/>
      <c r="L25" s="6"/>
      <c r="M25" s="6"/>
      <c r="N25" s="6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3" t="s">
        <v>23</v>
      </c>
      <c r="B26" s="2"/>
      <c r="C26" s="3"/>
      <c r="D26" s="4"/>
      <c r="E26" s="3"/>
      <c r="F26" s="3"/>
      <c r="G26" s="2"/>
      <c r="H26" s="2"/>
      <c r="I26" s="2"/>
      <c r="J26" s="2"/>
      <c r="K26" s="5"/>
      <c r="L26" s="6"/>
      <c r="M26" s="6"/>
      <c r="N26" s="6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4"/>
      <c r="B27" s="14"/>
      <c r="C27" s="15"/>
      <c r="D27" s="16"/>
      <c r="E27" s="15"/>
      <c r="F27" s="15"/>
      <c r="G27" s="14"/>
      <c r="H27" s="2"/>
      <c r="I27" s="2"/>
      <c r="J27" s="2"/>
      <c r="K27" s="5"/>
      <c r="L27" s="6"/>
      <c r="M27" s="6"/>
      <c r="N27" s="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4" t="s">
        <v>7</v>
      </c>
      <c r="B28" s="55" t="s">
        <v>8</v>
      </c>
      <c r="C28" s="56" t="s">
        <v>9</v>
      </c>
      <c r="D28" s="57" t="s">
        <v>10</v>
      </c>
      <c r="E28" s="56" t="s">
        <v>11</v>
      </c>
      <c r="F28" s="56" t="s">
        <v>12</v>
      </c>
      <c r="G28" s="55" t="s">
        <v>8</v>
      </c>
      <c r="H28" s="2"/>
      <c r="I28" s="2"/>
      <c r="J28" s="2"/>
      <c r="K28" s="5"/>
      <c r="L28" s="6"/>
      <c r="M28" s="6"/>
      <c r="N28" s="6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8">
        <v>1.0</v>
      </c>
      <c r="B29" s="59" t="s">
        <v>24</v>
      </c>
      <c r="C29" s="60">
        <v>300000.0</v>
      </c>
      <c r="D29" s="61">
        <v>44992.0</v>
      </c>
      <c r="E29" s="62">
        <v>300000.0</v>
      </c>
      <c r="F29" s="63">
        <f t="shared" ref="F29:F31" si="2">C29-E29</f>
        <v>0</v>
      </c>
      <c r="G29" s="64" t="s">
        <v>16</v>
      </c>
      <c r="H29" s="2"/>
      <c r="I29" s="2"/>
      <c r="J29" s="2"/>
      <c r="K29" s="5"/>
      <c r="L29" s="6"/>
      <c r="M29" s="6"/>
      <c r="N29" s="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8">
        <v>2.0</v>
      </c>
      <c r="B30" s="65" t="s">
        <v>25</v>
      </c>
      <c r="C30" s="60">
        <v>1350000.0</v>
      </c>
      <c r="D30" s="66">
        <v>45530.0</v>
      </c>
      <c r="E30" s="60">
        <v>1350000.0</v>
      </c>
      <c r="F30" s="63">
        <f t="shared" si="2"/>
        <v>0</v>
      </c>
      <c r="G30" s="67" t="str">
        <f t="shared" ref="G30:G31" si="3">if(E30&gt;=C30,"Lunas","Tunggakan")</f>
        <v>Lunas</v>
      </c>
      <c r="H30" s="2"/>
      <c r="I30" s="2"/>
      <c r="J30" s="2"/>
      <c r="K30" s="5"/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8">
        <v>3.0</v>
      </c>
      <c r="B31" s="68" t="s">
        <v>26</v>
      </c>
      <c r="C31" s="60">
        <v>8000000.0</v>
      </c>
      <c r="D31" s="66"/>
      <c r="E31" s="60">
        <v>0.0</v>
      </c>
      <c r="F31" s="63">
        <f t="shared" si="2"/>
        <v>8000000</v>
      </c>
      <c r="G31" s="67" t="str">
        <f t="shared" si="3"/>
        <v>Tunggakan</v>
      </c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9" t="s">
        <v>27</v>
      </c>
      <c r="B32" s="46"/>
      <c r="C32" s="70">
        <f>SUM(C29:C31)</f>
        <v>9650000</v>
      </c>
      <c r="D32" s="71"/>
      <c r="E32" s="70">
        <f t="shared" ref="E32:F32" si="4">sum(E29:E31)</f>
        <v>1650000</v>
      </c>
      <c r="F32" s="70">
        <f t="shared" si="4"/>
        <v>8000000</v>
      </c>
      <c r="G32" s="72"/>
      <c r="H32" s="73"/>
      <c r="I32" s="73"/>
      <c r="J32" s="73"/>
      <c r="K32" s="74"/>
      <c r="L32" s="75"/>
      <c r="M32" s="75"/>
      <c r="N32" s="75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>
      <c r="A33" s="76" t="s">
        <v>28</v>
      </c>
      <c r="B33" s="46"/>
      <c r="C33" s="77">
        <f>C24+C32</f>
        <v>37150000</v>
      </c>
      <c r="D33" s="78"/>
      <c r="E33" s="77">
        <f>E32+E24</f>
        <v>26400000</v>
      </c>
      <c r="F33" s="77">
        <f>F24+F32</f>
        <v>10750000</v>
      </c>
      <c r="G33" s="79"/>
      <c r="H33" s="73"/>
      <c r="I33" s="73"/>
      <c r="J33" s="73"/>
      <c r="K33" s="74"/>
      <c r="L33" s="75"/>
      <c r="M33" s="75"/>
      <c r="N33" s="75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>
      <c r="A34" s="52"/>
      <c r="B34" s="80"/>
      <c r="E34" s="3"/>
      <c r="F34" s="80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1"/>
      <c r="B35" s="9"/>
      <c r="C35" s="10"/>
      <c r="D35" s="10"/>
      <c r="E35" s="82"/>
      <c r="F35" s="9"/>
      <c r="G35" s="10"/>
      <c r="H35" s="2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3" t="s">
        <v>29</v>
      </c>
      <c r="G36" s="84"/>
      <c r="H36" s="2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3" t="s">
        <v>30</v>
      </c>
      <c r="G37" s="84"/>
      <c r="H37" s="2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3" t="s">
        <v>31</v>
      </c>
      <c r="G38" s="84"/>
      <c r="H38" s="2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5" t="s">
        <v>32</v>
      </c>
      <c r="B39" s="10"/>
      <c r="C39" s="10"/>
      <c r="D39" s="10"/>
      <c r="E39" s="10"/>
      <c r="F39" s="10"/>
      <c r="G39" s="86"/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6.75" customHeight="1">
      <c r="A40" s="2"/>
      <c r="B40" s="2"/>
      <c r="C40" s="3"/>
      <c r="D40" s="4"/>
      <c r="E40" s="3"/>
      <c r="F40" s="87" t="s">
        <v>33</v>
      </c>
      <c r="G40" s="88">
        <v>45800.0</v>
      </c>
      <c r="H40" s="89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2.25" customHeight="1">
      <c r="A41" s="2"/>
      <c r="B41" s="2"/>
      <c r="C41" s="3"/>
      <c r="D41" s="4"/>
      <c r="E41" s="3"/>
      <c r="F41" s="90" t="s">
        <v>34</v>
      </c>
      <c r="H41" s="3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90" t="s">
        <v>35</v>
      </c>
      <c r="D42" s="4"/>
      <c r="E42" s="3"/>
      <c r="F42" s="90" t="s">
        <v>36</v>
      </c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3"/>
      <c r="D43" s="4"/>
      <c r="E43" s="3"/>
      <c r="F43" s="3"/>
      <c r="G43" s="4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3"/>
      <c r="D44" s="4"/>
      <c r="E44" s="3"/>
      <c r="F44" s="3"/>
      <c r="G44" s="2"/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3"/>
      <c r="D45" s="4"/>
      <c r="E45" s="3"/>
      <c r="F45" s="80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3"/>
      <c r="D46" s="4"/>
      <c r="E46" s="3"/>
      <c r="F46" s="80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91" t="s">
        <v>37</v>
      </c>
      <c r="C47" s="10"/>
      <c r="D47" s="4"/>
      <c r="E47" s="3"/>
      <c r="F47" s="92" t="s">
        <v>38</v>
      </c>
      <c r="G47" s="10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93" t="s">
        <v>39</v>
      </c>
      <c r="D48" s="4"/>
      <c r="E48" s="3"/>
      <c r="F48" s="94" t="s">
        <v>40</v>
      </c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80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80"/>
      <c r="D50" s="4"/>
      <c r="E50" s="80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80"/>
      <c r="D51" s="4"/>
      <c r="E51" s="80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5"/>
      <c r="L969" s="6"/>
      <c r="M969" s="6"/>
      <c r="N969" s="6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5"/>
      <c r="L970" s="6"/>
      <c r="M970" s="6"/>
      <c r="N970" s="6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5"/>
      <c r="L971" s="6"/>
      <c r="M971" s="6"/>
      <c r="N971" s="6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5"/>
      <c r="L972" s="6"/>
      <c r="M972" s="6"/>
      <c r="N972" s="6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5"/>
      <c r="L973" s="6"/>
      <c r="M973" s="6"/>
      <c r="N973" s="6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2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2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2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2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2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2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2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2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3"/>
      <c r="D1003" s="2"/>
      <c r="E1003" s="3"/>
      <c r="F1003" s="3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3"/>
      <c r="D1004" s="2"/>
      <c r="E1004" s="3"/>
      <c r="F1004" s="3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3"/>
      <c r="D1005" s="2"/>
      <c r="E1005" s="3"/>
      <c r="F1005" s="3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3"/>
      <c r="D1006" s="2"/>
      <c r="E1006" s="3"/>
      <c r="F1006" s="3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3"/>
      <c r="D1007" s="2"/>
      <c r="E1007" s="3"/>
      <c r="F1007" s="3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mergeCells count="52">
    <mergeCell ref="C2:G2"/>
    <mergeCell ref="C5:G5"/>
    <mergeCell ref="A6:G6"/>
    <mergeCell ref="A8:H8"/>
    <mergeCell ref="A9:H9"/>
    <mergeCell ref="A10:H10"/>
    <mergeCell ref="A11:G11"/>
    <mergeCell ref="A15:A16"/>
    <mergeCell ref="B15:B16"/>
    <mergeCell ref="C15:C16"/>
    <mergeCell ref="G15:G16"/>
    <mergeCell ref="B17:B18"/>
    <mergeCell ref="C17:C18"/>
    <mergeCell ref="G17:G18"/>
    <mergeCell ref="A17:A18"/>
    <mergeCell ref="A19:A20"/>
    <mergeCell ref="B19:B20"/>
    <mergeCell ref="C19:C20"/>
    <mergeCell ref="A21:A22"/>
    <mergeCell ref="B21:B22"/>
    <mergeCell ref="C21:C22"/>
    <mergeCell ref="A24:B24"/>
    <mergeCell ref="A32:B32"/>
    <mergeCell ref="A33:B33"/>
    <mergeCell ref="B34:D34"/>
    <mergeCell ref="B35:D35"/>
    <mergeCell ref="A36:G36"/>
    <mergeCell ref="A37:G37"/>
    <mergeCell ref="F35:G35"/>
    <mergeCell ref="F41:G41"/>
    <mergeCell ref="F45:G45"/>
    <mergeCell ref="F46:G46"/>
    <mergeCell ref="F15:F16"/>
    <mergeCell ref="F17:F18"/>
    <mergeCell ref="F19:F20"/>
    <mergeCell ref="G19:G20"/>
    <mergeCell ref="F21:F22"/>
    <mergeCell ref="G21:G22"/>
    <mergeCell ref="F34:G34"/>
    <mergeCell ref="F48:G48"/>
    <mergeCell ref="E49:F49"/>
    <mergeCell ref="B50:C50"/>
    <mergeCell ref="E50:G50"/>
    <mergeCell ref="B51:C51"/>
    <mergeCell ref="E51:G51"/>
    <mergeCell ref="A38:G38"/>
    <mergeCell ref="A39:G39"/>
    <mergeCell ref="B42:C42"/>
    <mergeCell ref="F42:G42"/>
    <mergeCell ref="B47:C47"/>
    <mergeCell ref="F47:G47"/>
    <mergeCell ref="B48:C48"/>
  </mergeCells>
  <printOptions horizontalCentered="1"/>
  <pageMargins bottom="0.75" footer="0.0" header="0.0" left="0.7" right="0.7" top="0.75"/>
  <pageSetup fitToHeight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