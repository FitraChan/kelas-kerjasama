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Og0OFxNJpcpO6Y0bZysFo+QLQed73gflaOkQQreH3DY="/>
    </ext>
  </extLst>
</workbook>
</file>

<file path=xl/sharedStrings.xml><?xml version="1.0" encoding="utf-8"?>
<sst xmlns="http://schemas.openxmlformats.org/spreadsheetml/2006/main" count="57" uniqueCount="42">
  <si>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</si>
  <si>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</si>
  <si>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</si>
  <si>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240030401</t>
  </si>
  <si>
    <t>Nama     : Agung Mulyana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</si>
  <si>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</si>
  <si>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</si>
  <si>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</si>
  <si>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</si>
  <si>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</si>
  <si>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</si>
  <si>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</si>
  <si>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</si>
  <si>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 xml:space="preserve">Semester I </t>
  </si>
  <si>
    <t xml:space="preserve">Semester II </t>
  </si>
  <si>
    <t>Tunggakan</t>
  </si>
  <si>
    <t>Semester III</t>
  </si>
  <si>
    <t>Semester IV</t>
  </si>
  <si>
    <t xml:space="preserve">Semester V </t>
  </si>
  <si>
    <t>Semester VI</t>
  </si>
  <si>
    <t xml:space="preserve">Semester VII </t>
  </si>
  <si>
    <t xml:space="preserve">Semester VIII 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</si>
  <si>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</si>
  <si>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</si>
  <si>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</si>
  <si>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</si>
  <si>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</si>
  <si>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</si>
  <si>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</si>
  <si>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</si>
  <si>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</si>
  <si>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</si>
  <si>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</si>
  <si>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</si>
  <si>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</si>
  <si>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</si>
  <si>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</si>
  <si>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</si>
  <si>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</si>
  <si>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 xml:space="preserve">I GST AYU ALIT 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</si>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</sst>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3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readingOrder="0" vertical="center"/>
    </xf>
    <xf borderId="5" fillId="0" fontId="9" numFmtId="165" xfId="0" applyAlignment="1" applyBorder="1" applyFont="1" applyNumberFormat="1">
      <alignment vertical="center"/>
    </xf>
    <xf borderId="5" fillId="0" fontId="9" numFmtId="164" xfId="0" applyAlignment="1" applyBorder="1" applyFont="1" applyNumberFormat="1">
      <alignment vertical="center"/>
    </xf>
    <xf borderId="5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  <xf borderId="0" fillId="0" fontId="9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readingOrder="0" vertical="center"/>
    </xf>
    <xf borderId="5" fillId="3" fontId="9" numFmtId="0" xfId="0" applyAlignment="1" applyBorder="1" applyFont="1">
      <alignment readingOrder="0" vertical="center"/>
    </xf>
    <xf borderId="0" fillId="0" fontId="9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readingOrder="0" vertical="center"/>
    </xf>
    <xf borderId="4" fillId="0" fontId="9" numFmtId="165" xfId="0" applyAlignment="1" applyBorder="1" applyFont="1" applyNumberFormat="1">
      <alignment vertical="center"/>
    </xf>
    <xf borderId="4" fillId="0" fontId="9" numFmtId="164" xfId="0" applyAlignment="1" applyBorder="1" applyFont="1" applyNumberFormat="1">
      <alignment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5" fillId="3" fontId="9" numFmtId="164" xfId="0" applyAlignment="1" applyBorder="1" applyFont="1" applyNumberFormat="1">
      <alignment horizontal="center" vertical="center"/>
    </xf>
    <xf borderId="5" fillId="3" fontId="9" numFmtId="165" xfId="0" applyAlignment="1" applyBorder="1" applyFont="1" applyNumberFormat="1">
      <alignment horizontal="center" readingOrder="0" vertical="center"/>
    </xf>
    <xf borderId="5" fillId="3" fontId="9" numFmtId="164" xfId="0" applyAlignment="1" applyBorder="1" applyFont="1" applyNumberFormat="1">
      <alignment horizontal="center" vertical="center"/>
    </xf>
    <xf borderId="0" fillId="0" fontId="9" numFmtId="166" xfId="0" applyAlignment="1" applyFont="1" applyNumberFormat="1">
      <alignment vertical="center"/>
    </xf>
    <xf borderId="0" fillId="0" fontId="9" numFmtId="3" xfId="0" applyAlignment="1" applyFont="1" applyNumberFormat="1">
      <alignment vertical="center"/>
    </xf>
    <xf borderId="4" fillId="3" fontId="9" numFmtId="0" xfId="0" applyAlignment="1" applyBorder="1" applyFont="1">
      <alignment vertical="center"/>
    </xf>
    <xf borderId="5" fillId="3" fontId="9" numFmtId="164" xfId="0" applyAlignment="1" applyBorder="1" applyFont="1" applyNumberFormat="1">
      <alignment horizontal="center" readingOrder="0" vertical="center"/>
    </xf>
    <xf borderId="5" fillId="3" fontId="9" numFmtId="165" xfId="0" applyAlignment="1" applyBorder="1" applyFont="1" applyNumberFormat="1">
      <alignment horizontal="center" vertical="center"/>
    </xf>
    <xf borderId="5" fillId="3" fontId="9" numFmtId="164" xfId="0" applyAlignment="1" applyBorder="1" applyFont="1" applyNumberFormat="1">
      <alignment horizontal="center" readingOrder="0" vertical="center"/>
    </xf>
    <xf borderId="0" fillId="0" fontId="9" numFmtId="0" xfId="0" applyAlignment="1" applyFont="1">
      <alignment shrinkToFit="0" vertical="center" wrapText="1"/>
    </xf>
    <xf borderId="4" fillId="3" fontId="9" numFmtId="164" xfId="0" applyAlignment="1" applyBorder="1" applyFont="1" applyNumberFormat="1">
      <alignment vertical="center"/>
    </xf>
    <xf borderId="7" fillId="2" fontId="10" numFmtId="0" xfId="0" applyAlignment="1" applyBorder="1" applyFont="1">
      <alignment horizontal="center" vertical="center"/>
    </xf>
    <xf borderId="8" fillId="0" fontId="6" numFmtId="0" xfId="0" applyBorder="1" applyFont="1"/>
    <xf borderId="5" fillId="2" fontId="10" numFmtId="164" xfId="0" applyAlignment="1" applyBorder="1" applyFont="1" applyNumberFormat="1">
      <alignment horizontal="center" vertical="center"/>
    </xf>
    <xf borderId="5" fillId="2" fontId="10" numFmtId="0" xfId="0" applyAlignment="1" applyBorder="1" applyFont="1">
      <alignment horizontal="center" vertical="center"/>
    </xf>
    <xf borderId="5" fillId="2" fontId="10" numFmtId="0" xfId="0" applyAlignment="1" applyBorder="1" applyFont="1">
      <alignment vertical="center"/>
    </xf>
    <xf borderId="7" fillId="4" fontId="10" numFmtId="0" xfId="0" applyAlignment="1" applyBorder="1" applyFill="1" applyFont="1">
      <alignment horizontal="center" vertical="center"/>
    </xf>
    <xf borderId="5" fillId="4" fontId="10" numFmtId="164" xfId="0" applyAlignment="1" applyBorder="1" applyFont="1" applyNumberFormat="1">
      <alignment horizontal="center" vertical="center"/>
    </xf>
    <xf borderId="5" fillId="4" fontId="10" numFmtId="0" xfId="0" applyAlignment="1" applyBorder="1" applyFont="1">
      <alignment horizontal="center" vertical="center"/>
    </xf>
    <xf borderId="5" fillId="4" fontId="10" numFmtId="164" xfId="0" applyAlignment="1" applyBorder="1" applyFont="1" applyNumberFormat="1">
      <alignment horizontal="center" vertical="center"/>
    </xf>
    <xf borderId="5" fillId="4" fontId="10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9" fillId="0" fontId="9" numFmtId="0" xfId="0" applyAlignment="1" applyBorder="1" applyFont="1">
      <alignment vertical="center"/>
    </xf>
    <xf borderId="10" fillId="0" fontId="6" numFmtId="0" xfId="0" applyBorder="1" applyFont="1"/>
    <xf borderId="11" fillId="0" fontId="9" numFmtId="165" xfId="0" applyAlignment="1" applyBorder="1" applyFont="1" applyNumberFormat="1">
      <alignment vertical="center"/>
    </xf>
    <xf borderId="12" fillId="0" fontId="6" numFmtId="0" xfId="0" applyBorder="1" applyFont="1"/>
    <xf borderId="0" fillId="0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 t="s">
        <v>6</v>
      </c>
      <c r="B12" s="13"/>
      <c r="C12" s="14"/>
      <c r="D12" s="15"/>
      <c r="E12" s="14"/>
      <c r="F12" s="14"/>
      <c r="G12" s="1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 t="s">
        <v>7</v>
      </c>
      <c r="B13" s="17" t="s">
        <v>8</v>
      </c>
      <c r="C13" s="18" t="s">
        <v>9</v>
      </c>
      <c r="D13" s="19" t="s">
        <v>10</v>
      </c>
      <c r="E13" s="18" t="s">
        <v>11</v>
      </c>
      <c r="F13" s="18" t="s">
        <v>12</v>
      </c>
      <c r="G13" s="17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0">
        <v>1.0</v>
      </c>
      <c r="B14" s="21" t="s">
        <v>13</v>
      </c>
      <c r="C14" s="22">
        <v>6000000.0</v>
      </c>
      <c r="D14" s="23"/>
      <c r="E14" s="22"/>
      <c r="F14" s="24">
        <f t="shared" ref="F14:F21" si="1">C14-E14</f>
        <v>6000000</v>
      </c>
      <c r="G14" s="25" t="str">
        <f>if(E14&gt;=C14,"Lunas","Tunggakan")</f>
        <v>Tunggakan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7"/>
      <c r="W14" s="27"/>
      <c r="X14" s="27"/>
      <c r="Y14" s="27"/>
      <c r="Z14" s="27"/>
    </row>
    <row r="15">
      <c r="A15" s="28">
        <v>2.0</v>
      </c>
      <c r="B15" s="21" t="s">
        <v>14</v>
      </c>
      <c r="C15" s="22">
        <v>6000000.0</v>
      </c>
      <c r="D15" s="23"/>
      <c r="E15" s="24"/>
      <c r="F15" s="24">
        <f t="shared" si="1"/>
        <v>6000000</v>
      </c>
      <c r="G15" s="29" t="s">
        <v>15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7"/>
      <c r="W15" s="27"/>
      <c r="X15" s="27"/>
      <c r="Y15" s="27"/>
      <c r="Z15" s="27"/>
    </row>
    <row r="16">
      <c r="A16" s="28">
        <v>3.0</v>
      </c>
      <c r="B16" s="30" t="s">
        <v>16</v>
      </c>
      <c r="C16" s="22">
        <v>6000000.0</v>
      </c>
      <c r="D16" s="23"/>
      <c r="E16" s="24"/>
      <c r="F16" s="24">
        <f t="shared" si="1"/>
        <v>6000000</v>
      </c>
      <c r="G16" s="29" t="s">
        <v>15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7"/>
      <c r="W16" s="27"/>
      <c r="X16" s="27"/>
      <c r="Y16" s="27"/>
      <c r="Z16" s="27"/>
    </row>
    <row r="17">
      <c r="A17" s="28">
        <v>4.0</v>
      </c>
      <c r="B17" s="30" t="s">
        <v>17</v>
      </c>
      <c r="C17" s="22">
        <v>6000000.0</v>
      </c>
      <c r="D17" s="23"/>
      <c r="E17" s="24"/>
      <c r="F17" s="24">
        <f t="shared" si="1"/>
        <v>6000000</v>
      </c>
      <c r="G17" s="29" t="s">
        <v>15</v>
      </c>
      <c r="H17" s="26"/>
      <c r="I17" s="31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32">
        <v>5.0</v>
      </c>
      <c r="B18" s="33" t="s">
        <v>18</v>
      </c>
      <c r="C18" s="22">
        <v>6000000.0</v>
      </c>
      <c r="D18" s="34"/>
      <c r="E18" s="35"/>
      <c r="F18" s="24">
        <f t="shared" si="1"/>
        <v>6000000</v>
      </c>
      <c r="G18" s="29" t="s">
        <v>15</v>
      </c>
      <c r="H18" s="26"/>
      <c r="I18" s="31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32">
        <v>6.0</v>
      </c>
      <c r="B19" s="33" t="s">
        <v>19</v>
      </c>
      <c r="C19" s="22">
        <v>6000000.0</v>
      </c>
      <c r="D19" s="34"/>
      <c r="E19" s="35"/>
      <c r="F19" s="24">
        <f t="shared" si="1"/>
        <v>6000000</v>
      </c>
      <c r="G19" s="29" t="s">
        <v>15</v>
      </c>
      <c r="H19" s="26"/>
      <c r="I19" s="31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32">
        <v>7.0</v>
      </c>
      <c r="B20" s="33" t="s">
        <v>20</v>
      </c>
      <c r="C20" s="22">
        <v>6000000.0</v>
      </c>
      <c r="D20" s="34"/>
      <c r="E20" s="35"/>
      <c r="F20" s="24">
        <f t="shared" si="1"/>
        <v>6000000</v>
      </c>
      <c r="G20" s="29" t="s">
        <v>15</v>
      </c>
      <c r="H20" s="26"/>
      <c r="I20" s="31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32">
        <v>8.0</v>
      </c>
      <c r="B21" s="33" t="s">
        <v>21</v>
      </c>
      <c r="C21" s="22">
        <v>6000000.0</v>
      </c>
      <c r="D21" s="34"/>
      <c r="E21" s="35"/>
      <c r="F21" s="24">
        <f t="shared" si="1"/>
        <v>6000000</v>
      </c>
      <c r="G21" s="29" t="s">
        <v>15</v>
      </c>
      <c r="H21" s="26"/>
      <c r="I21" s="31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36" t="s">
        <v>22</v>
      </c>
      <c r="B22" s="37"/>
      <c r="C22" s="38">
        <f>sum(C14:C21)</f>
        <v>48000000</v>
      </c>
      <c r="D22" s="39"/>
      <c r="E22" s="40">
        <f t="shared" ref="E22:F22" si="2">SUM(E14:E21)</f>
        <v>0</v>
      </c>
      <c r="F22" s="40">
        <f t="shared" si="2"/>
        <v>48000000</v>
      </c>
      <c r="G22" s="41"/>
      <c r="H22" s="42"/>
      <c r="I22" s="42"/>
      <c r="J22" s="42"/>
      <c r="K22" s="43"/>
      <c r="L22" s="44"/>
      <c r="M22" s="44"/>
      <c r="N22" s="44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>
      <c r="A23" s="45"/>
      <c r="B23" s="45"/>
      <c r="C23" s="3"/>
      <c r="D23" s="4"/>
      <c r="E23" s="3"/>
      <c r="F23" s="3"/>
      <c r="G23" s="2"/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6" t="s">
        <v>23</v>
      </c>
      <c r="B24" s="2"/>
      <c r="C24" s="3"/>
      <c r="D24" s="4"/>
      <c r="E24" s="3"/>
      <c r="F24" s="3"/>
      <c r="G24" s="2"/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3"/>
      <c r="B25" s="13"/>
      <c r="C25" s="14"/>
      <c r="D25" s="15"/>
      <c r="E25" s="14"/>
      <c r="F25" s="14"/>
      <c r="G25" s="13"/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6" t="s">
        <v>7</v>
      </c>
      <c r="B26" s="17" t="s">
        <v>8</v>
      </c>
      <c r="C26" s="18" t="s">
        <v>9</v>
      </c>
      <c r="D26" s="19" t="s">
        <v>10</v>
      </c>
      <c r="E26" s="18" t="s">
        <v>11</v>
      </c>
      <c r="F26" s="18" t="s">
        <v>12</v>
      </c>
      <c r="G26" s="17" t="s">
        <v>8</v>
      </c>
      <c r="H26" s="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7">
        <v>1.0</v>
      </c>
      <c r="B27" s="48" t="s">
        <v>24</v>
      </c>
      <c r="C27" s="49">
        <v>400000.0</v>
      </c>
      <c r="D27" s="50">
        <v>45479.0</v>
      </c>
      <c r="E27" s="49">
        <v>400000.0</v>
      </c>
      <c r="F27" s="49">
        <f t="shared" ref="F27:F29" si="3">C27-E27</f>
        <v>0</v>
      </c>
      <c r="G27" s="51" t="str">
        <f t="shared" ref="G27:G28" si="4">if(E27&gt;=C27,"Lunas","Tunggakan")</f>
        <v>Lunas</v>
      </c>
      <c r="H27" s="26"/>
      <c r="I27" s="26"/>
      <c r="J27" s="26"/>
      <c r="K27" s="52"/>
      <c r="L27" s="53"/>
      <c r="M27" s="53"/>
      <c r="N27" s="53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47">
        <v>2.0</v>
      </c>
      <c r="B28" s="54" t="s">
        <v>25</v>
      </c>
      <c r="C28" s="55">
        <v>1750000.0</v>
      </c>
      <c r="D28" s="50">
        <v>45479.0</v>
      </c>
      <c r="E28" s="55">
        <v>1750000.0</v>
      </c>
      <c r="F28" s="49">
        <f t="shared" si="3"/>
        <v>0</v>
      </c>
      <c r="G28" s="51" t="str">
        <f t="shared" si="4"/>
        <v>Lunas</v>
      </c>
      <c r="H28" s="26"/>
      <c r="I28" s="26"/>
      <c r="J28" s="26"/>
      <c r="K28" s="52"/>
      <c r="L28" s="53"/>
      <c r="M28" s="53"/>
      <c r="N28" s="53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47">
        <v>3.0</v>
      </c>
      <c r="B29" s="48" t="s">
        <v>26</v>
      </c>
      <c r="C29" s="49">
        <v>9000000.0</v>
      </c>
      <c r="D29" s="56"/>
      <c r="E29" s="55">
        <v>0.0</v>
      </c>
      <c r="F29" s="49">
        <f t="shared" si="3"/>
        <v>9000000</v>
      </c>
      <c r="G29" s="57" t="s">
        <v>15</v>
      </c>
      <c r="H29" s="58"/>
      <c r="I29" s="26"/>
      <c r="J29" s="26"/>
      <c r="K29" s="52"/>
      <c r="L29" s="53"/>
      <c r="M29" s="53"/>
      <c r="N29" s="53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47">
        <v>4.0</v>
      </c>
      <c r="B30" s="48" t="s">
        <v>27</v>
      </c>
      <c r="C30" s="35"/>
      <c r="D30" s="34"/>
      <c r="E30" s="35"/>
      <c r="F30" s="59"/>
      <c r="G30" s="54"/>
      <c r="H30" s="26"/>
      <c r="I30" s="26"/>
      <c r="J30" s="26"/>
      <c r="K30" s="52"/>
      <c r="L30" s="53"/>
      <c r="M30" s="53"/>
      <c r="N30" s="53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60" t="s">
        <v>28</v>
      </c>
      <c r="B31" s="61"/>
      <c r="C31" s="62">
        <f>sum(C27:C30)</f>
        <v>11150000</v>
      </c>
      <c r="D31" s="63"/>
      <c r="E31" s="62">
        <f>sum(E27:E30)</f>
        <v>2150000</v>
      </c>
      <c r="F31" s="62">
        <f>SUM(F27:F30)</f>
        <v>9000000</v>
      </c>
      <c r="G31" s="64"/>
      <c r="H31" s="42"/>
      <c r="I31" s="42"/>
      <c r="J31" s="42"/>
      <c r="K31" s="43"/>
      <c r="L31" s="44"/>
      <c r="M31" s="44"/>
      <c r="N31" s="44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65" t="s">
        <v>29</v>
      </c>
      <c r="B32" s="61"/>
      <c r="C32" s="66">
        <f>C22+C31</f>
        <v>59150000</v>
      </c>
      <c r="D32" s="67"/>
      <c r="E32" s="68">
        <f>E31+E22</f>
        <v>2150000</v>
      </c>
      <c r="F32" s="68">
        <f>F22+F31</f>
        <v>57000000</v>
      </c>
      <c r="G32" s="69"/>
      <c r="H32" s="42"/>
      <c r="I32" s="42"/>
      <c r="J32" s="42"/>
      <c r="K32" s="43"/>
      <c r="L32" s="44"/>
      <c r="M32" s="44"/>
      <c r="N32" s="44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5"/>
      <c r="B33" s="70"/>
      <c r="E33" s="3"/>
      <c r="F33" s="71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2"/>
      <c r="B34" s="9"/>
      <c r="C34" s="10"/>
      <c r="D34" s="10"/>
      <c r="E34" s="73"/>
      <c r="F34" s="74"/>
      <c r="G34" s="10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5" t="s">
        <v>30</v>
      </c>
      <c r="G35" s="76"/>
      <c r="H35" s="2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75" t="s">
        <v>31</v>
      </c>
      <c r="G36" s="76"/>
      <c r="H36" s="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5" t="s">
        <v>32</v>
      </c>
      <c r="G37" s="76"/>
      <c r="H37" s="2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7" t="s">
        <v>33</v>
      </c>
      <c r="B38" s="10"/>
      <c r="C38" s="10"/>
      <c r="D38" s="10"/>
      <c r="E38" s="10"/>
      <c r="F38" s="10"/>
      <c r="G38" s="78"/>
      <c r="H38" s="79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7.5" customHeight="1">
      <c r="A39" s="2"/>
      <c r="B39" s="2"/>
      <c r="C39" s="3"/>
      <c r="D39" s="4"/>
      <c r="E39" s="3"/>
      <c r="F39" s="80" t="s">
        <v>34</v>
      </c>
      <c r="G39" s="81">
        <v>45897.0</v>
      </c>
      <c r="H39" s="8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5.25" customHeight="1">
      <c r="A40" s="2"/>
      <c r="B40" s="83"/>
      <c r="C40" s="3"/>
      <c r="D40" s="4"/>
      <c r="E40" s="3"/>
      <c r="F40" s="84" t="s">
        <v>35</v>
      </c>
      <c r="H40" s="83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85" t="s">
        <v>36</v>
      </c>
      <c r="D41" s="4"/>
      <c r="E41" s="3"/>
      <c r="F41" s="84" t="s">
        <v>37</v>
      </c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/>
      <c r="D42" s="4"/>
      <c r="E42" s="3"/>
      <c r="F42" s="3"/>
      <c r="G42" s="79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/>
      <c r="D43" s="4"/>
      <c r="E43" s="3"/>
      <c r="F43" s="3"/>
      <c r="G43" s="2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/>
      <c r="D44" s="4"/>
      <c r="E44" s="3"/>
      <c r="F44" s="71"/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83"/>
      <c r="C45" s="3"/>
      <c r="D45" s="4"/>
      <c r="E45" s="3"/>
      <c r="F45" s="3"/>
      <c r="G45" s="83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86" t="s">
        <v>38</v>
      </c>
      <c r="C46" s="10"/>
      <c r="D46" s="4"/>
      <c r="E46" s="3"/>
      <c r="F46" s="87" t="s">
        <v>39</v>
      </c>
      <c r="G46" s="10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88" t="s">
        <v>40</v>
      </c>
      <c r="D47" s="4"/>
      <c r="E47" s="3"/>
      <c r="F47" s="89" t="s">
        <v>41</v>
      </c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71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70"/>
      <c r="D49" s="4"/>
      <c r="E49" s="71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5"/>
      <c r="L969" s="6"/>
      <c r="M969" s="6"/>
      <c r="N969" s="6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5"/>
      <c r="L970" s="6"/>
      <c r="M970" s="6"/>
      <c r="N970" s="6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5"/>
      <c r="L971" s="6"/>
      <c r="M971" s="6"/>
      <c r="N971" s="6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3"/>
      <c r="D1003" s="4"/>
      <c r="E1003" s="3"/>
      <c r="F1003" s="3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3"/>
      <c r="D1004" s="4"/>
      <c r="E1004" s="3"/>
      <c r="F1004" s="3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3"/>
      <c r="D1005" s="4"/>
      <c r="E1005" s="3"/>
      <c r="F1005" s="3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22:B22"/>
    <mergeCell ref="A31:B31"/>
    <mergeCell ref="A32:B32"/>
    <mergeCell ref="B33:D33"/>
    <mergeCell ref="F33:G33"/>
    <mergeCell ref="B34:D34"/>
    <mergeCell ref="F34:G34"/>
    <mergeCell ref="B41:C41"/>
    <mergeCell ref="B46:C46"/>
    <mergeCell ref="B47:C47"/>
    <mergeCell ref="B49:C49"/>
    <mergeCell ref="F46:G46"/>
    <mergeCell ref="F47:G47"/>
    <mergeCell ref="E48:F48"/>
    <mergeCell ref="E49:G49"/>
    <mergeCell ref="A35:G35"/>
    <mergeCell ref="A36:G36"/>
    <mergeCell ref="A37:G37"/>
    <mergeCell ref="A38:G38"/>
    <mergeCell ref="F40:G40"/>
    <mergeCell ref="F41:G41"/>
    <mergeCell ref="F44:G44"/>
  </mergeCells>
  <printOptions horizontalCentered="1"/>
  <pageMargins bottom="0.75" footer="0.0" header="0.0" left="0.7" right="0.7" top="0.75"/>
  <pageSetup fitToWidth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