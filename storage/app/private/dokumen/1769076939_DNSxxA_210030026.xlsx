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\DOKUMEN KELAS EKSEKUTIF\I Made Oka Mahendra\"/>
    </mc:Choice>
  </mc:AlternateContent>
  <bookViews>
    <workbookView xWindow="0" yWindow="0" windowWidth="19200" windowHeight="6735"/>
  </bookViews>
  <sheets>
    <sheet name="Proses" sheetId="1" r:id="rId1"/>
    <sheet name="ES" sheetId="2" r:id="rId2"/>
    <sheet name="GM" sheetId="3" r:id="rId3"/>
    <sheet name="IS" sheetId="4" r:id="rId4"/>
  </sheets>
  <definedNames>
    <definedName name="_xlnm._FilterDatabase" localSheetId="0" hidden="1">Proses!$A$10:$J$132</definedName>
    <definedName name="_xlnm.Print_Titles" localSheetId="0">Proses!$9:$10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3" i="4" l="1"/>
  <c r="H73" i="4"/>
  <c r="I73" i="4"/>
  <c r="J73" i="4"/>
  <c r="G62" i="4"/>
  <c r="H62" i="4"/>
  <c r="I62" i="4"/>
  <c r="J62" i="4"/>
  <c r="G63" i="4"/>
  <c r="H63" i="4"/>
  <c r="I63" i="4"/>
  <c r="J63" i="4"/>
  <c r="H61" i="4"/>
  <c r="I61" i="4"/>
  <c r="J61" i="4"/>
  <c r="G61" i="4"/>
  <c r="G54" i="4"/>
  <c r="H54" i="4"/>
  <c r="I54" i="4"/>
  <c r="J54" i="4"/>
  <c r="G55" i="4"/>
  <c r="H55" i="4"/>
  <c r="I55" i="4"/>
  <c r="J55" i="4"/>
  <c r="G57" i="4"/>
  <c r="H57" i="4"/>
  <c r="I57" i="4"/>
  <c r="J57" i="4"/>
  <c r="J79" i="4"/>
  <c r="I79" i="4"/>
  <c r="H79" i="4"/>
  <c r="G79" i="4"/>
  <c r="J78" i="4"/>
  <c r="I78" i="4"/>
  <c r="H78" i="4"/>
  <c r="G78" i="4"/>
  <c r="J77" i="4"/>
  <c r="I77" i="4"/>
  <c r="H77" i="4"/>
  <c r="G77" i="4"/>
  <c r="J76" i="4"/>
  <c r="I76" i="4"/>
  <c r="H76" i="4"/>
  <c r="G76" i="4"/>
  <c r="J50" i="4"/>
  <c r="I50" i="4"/>
  <c r="H50" i="4"/>
  <c r="G50" i="4"/>
  <c r="F50" i="4"/>
  <c r="D50" i="4"/>
  <c r="J49" i="4"/>
  <c r="I49" i="4"/>
  <c r="H49" i="4"/>
  <c r="G49" i="4"/>
  <c r="J48" i="4"/>
  <c r="I48" i="4"/>
  <c r="H48" i="4"/>
  <c r="G48" i="4"/>
  <c r="J47" i="4"/>
  <c r="I47" i="4"/>
  <c r="H47" i="4"/>
  <c r="G47" i="4"/>
  <c r="J46" i="4"/>
  <c r="I46" i="4"/>
  <c r="H46" i="4"/>
  <c r="G46" i="4"/>
  <c r="J45" i="4"/>
  <c r="I45" i="4"/>
  <c r="H45" i="4"/>
  <c r="G45" i="4"/>
  <c r="J44" i="4"/>
  <c r="I44" i="4"/>
  <c r="H44" i="4"/>
  <c r="G44" i="4"/>
  <c r="J43" i="4"/>
  <c r="I43" i="4"/>
  <c r="H43" i="4"/>
  <c r="G43" i="4"/>
  <c r="J42" i="4"/>
  <c r="I42" i="4"/>
  <c r="H42" i="4"/>
  <c r="G42" i="4"/>
  <c r="F42" i="4"/>
  <c r="E42" i="4"/>
  <c r="J41" i="4"/>
  <c r="I41" i="4"/>
  <c r="H41" i="4"/>
  <c r="G41" i="4"/>
  <c r="F41" i="4"/>
  <c r="D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F33" i="4"/>
  <c r="E33" i="4"/>
  <c r="J32" i="4"/>
  <c r="I32" i="4"/>
  <c r="H32" i="4"/>
  <c r="G32" i="4"/>
  <c r="D32" i="4"/>
  <c r="J31" i="4"/>
  <c r="I31" i="4"/>
  <c r="H31" i="4"/>
  <c r="G31" i="4"/>
  <c r="J30" i="4"/>
  <c r="I30" i="4"/>
  <c r="H30" i="4"/>
  <c r="G30" i="4"/>
  <c r="J29" i="4"/>
  <c r="I29" i="4"/>
  <c r="H29" i="4"/>
  <c r="G29" i="4"/>
  <c r="J28" i="4"/>
  <c r="I28" i="4"/>
  <c r="H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I24" i="4"/>
  <c r="H24" i="4"/>
  <c r="G24" i="4"/>
  <c r="J23" i="4"/>
  <c r="I23" i="4"/>
  <c r="H23" i="4"/>
  <c r="G23" i="4"/>
  <c r="J22" i="4"/>
  <c r="I22" i="4"/>
  <c r="H22" i="4"/>
  <c r="G22" i="4"/>
  <c r="F22" i="4"/>
  <c r="E22" i="4"/>
  <c r="J21" i="4"/>
  <c r="I21" i="4"/>
  <c r="H21" i="4"/>
  <c r="G21" i="4"/>
  <c r="D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H6" i="4"/>
  <c r="C6" i="4"/>
  <c r="H5" i="4"/>
  <c r="C5" i="4"/>
  <c r="H4" i="4"/>
  <c r="C4" i="4"/>
  <c r="J79" i="3"/>
  <c r="I79" i="3"/>
  <c r="H79" i="3"/>
  <c r="G79" i="3"/>
  <c r="J78" i="3"/>
  <c r="I78" i="3"/>
  <c r="H78" i="3"/>
  <c r="G78" i="3"/>
  <c r="J77" i="3"/>
  <c r="I77" i="3"/>
  <c r="H77" i="3"/>
  <c r="G77" i="3"/>
  <c r="J76" i="3"/>
  <c r="I76" i="3"/>
  <c r="H76" i="3"/>
  <c r="G76" i="3"/>
  <c r="G71" i="3"/>
  <c r="H71" i="3"/>
  <c r="I71" i="3"/>
  <c r="J71" i="3"/>
  <c r="G63" i="3"/>
  <c r="H63" i="3"/>
  <c r="I63" i="3"/>
  <c r="J63" i="3"/>
  <c r="G65" i="3"/>
  <c r="H65" i="3"/>
  <c r="I65" i="3"/>
  <c r="J65" i="3"/>
  <c r="H61" i="3"/>
  <c r="I61" i="3"/>
  <c r="J61" i="3"/>
  <c r="G61" i="3"/>
  <c r="G53" i="3"/>
  <c r="H53" i="3"/>
  <c r="I53" i="3"/>
  <c r="J53" i="3"/>
  <c r="G55" i="3"/>
  <c r="H55" i="3"/>
  <c r="I55" i="3"/>
  <c r="J55" i="3"/>
  <c r="G56" i="3"/>
  <c r="H56" i="3"/>
  <c r="I56" i="3"/>
  <c r="J56" i="3"/>
  <c r="J50" i="3"/>
  <c r="I50" i="3"/>
  <c r="H50" i="3"/>
  <c r="G50" i="3"/>
  <c r="F50" i="3"/>
  <c r="D50" i="3"/>
  <c r="J49" i="3"/>
  <c r="I49" i="3"/>
  <c r="H49" i="3"/>
  <c r="G49" i="3"/>
  <c r="J48" i="3"/>
  <c r="I48" i="3"/>
  <c r="H48" i="3"/>
  <c r="G48" i="3"/>
  <c r="J47" i="3"/>
  <c r="I47" i="3"/>
  <c r="H47" i="3"/>
  <c r="G47" i="3"/>
  <c r="J46" i="3"/>
  <c r="I46" i="3"/>
  <c r="H46" i="3"/>
  <c r="G46" i="3"/>
  <c r="J45" i="3"/>
  <c r="I45" i="3"/>
  <c r="H45" i="3"/>
  <c r="G45" i="3"/>
  <c r="J44" i="3"/>
  <c r="I44" i="3"/>
  <c r="H44" i="3"/>
  <c r="G44" i="3"/>
  <c r="J43" i="3"/>
  <c r="I43" i="3"/>
  <c r="H43" i="3"/>
  <c r="G43" i="3"/>
  <c r="J42" i="3"/>
  <c r="I42" i="3"/>
  <c r="H42" i="3"/>
  <c r="G42" i="3"/>
  <c r="F42" i="3"/>
  <c r="E42" i="3"/>
  <c r="J41" i="3"/>
  <c r="I41" i="3"/>
  <c r="H41" i="3"/>
  <c r="G41" i="3"/>
  <c r="F41" i="3"/>
  <c r="D41" i="3"/>
  <c r="J40" i="3"/>
  <c r="I40" i="3"/>
  <c r="H40" i="3"/>
  <c r="G40" i="3"/>
  <c r="J39" i="3"/>
  <c r="I39" i="3"/>
  <c r="H39" i="3"/>
  <c r="G39" i="3"/>
  <c r="J38" i="3"/>
  <c r="I38" i="3"/>
  <c r="H38" i="3"/>
  <c r="G38" i="3"/>
  <c r="J37" i="3"/>
  <c r="I37" i="3"/>
  <c r="H37" i="3"/>
  <c r="G37" i="3"/>
  <c r="J36" i="3"/>
  <c r="I36" i="3"/>
  <c r="H36" i="3"/>
  <c r="G36" i="3"/>
  <c r="J35" i="3"/>
  <c r="I35" i="3"/>
  <c r="H35" i="3"/>
  <c r="G35" i="3"/>
  <c r="J34" i="3"/>
  <c r="I34" i="3"/>
  <c r="H34" i="3"/>
  <c r="G34" i="3"/>
  <c r="J33" i="3"/>
  <c r="I33" i="3"/>
  <c r="H33" i="3"/>
  <c r="G33" i="3"/>
  <c r="F33" i="3"/>
  <c r="E33" i="3"/>
  <c r="J32" i="3"/>
  <c r="I32" i="3"/>
  <c r="H32" i="3"/>
  <c r="G32" i="3"/>
  <c r="D32" i="3"/>
  <c r="J31" i="3"/>
  <c r="I31" i="3"/>
  <c r="H31" i="3"/>
  <c r="G31" i="3"/>
  <c r="J30" i="3"/>
  <c r="I30" i="3"/>
  <c r="H30" i="3"/>
  <c r="G30" i="3"/>
  <c r="J29" i="3"/>
  <c r="I29" i="3"/>
  <c r="H29" i="3"/>
  <c r="G29" i="3"/>
  <c r="J28" i="3"/>
  <c r="I28" i="3"/>
  <c r="H28" i="3"/>
  <c r="G28" i="3"/>
  <c r="J27" i="3"/>
  <c r="I27" i="3"/>
  <c r="H27" i="3"/>
  <c r="G27" i="3"/>
  <c r="J26" i="3"/>
  <c r="I26" i="3"/>
  <c r="H26" i="3"/>
  <c r="G26" i="3"/>
  <c r="J25" i="3"/>
  <c r="I25" i="3"/>
  <c r="H25" i="3"/>
  <c r="G25" i="3"/>
  <c r="J24" i="3"/>
  <c r="I24" i="3"/>
  <c r="H24" i="3"/>
  <c r="G24" i="3"/>
  <c r="J23" i="3"/>
  <c r="I23" i="3"/>
  <c r="H23" i="3"/>
  <c r="G23" i="3"/>
  <c r="J22" i="3"/>
  <c r="I22" i="3"/>
  <c r="H22" i="3"/>
  <c r="G22" i="3"/>
  <c r="F22" i="3"/>
  <c r="E22" i="3"/>
  <c r="J21" i="3"/>
  <c r="I21" i="3"/>
  <c r="H21" i="3"/>
  <c r="G21" i="3"/>
  <c r="D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H6" i="3"/>
  <c r="C6" i="3"/>
  <c r="H5" i="3"/>
  <c r="C5" i="3"/>
  <c r="H4" i="3"/>
  <c r="C4" i="3"/>
  <c r="G77" i="2"/>
  <c r="H77" i="2"/>
  <c r="I77" i="2"/>
  <c r="J77" i="2"/>
  <c r="G78" i="2"/>
  <c r="H78" i="2"/>
  <c r="I78" i="2"/>
  <c r="J78" i="2"/>
  <c r="G79" i="2"/>
  <c r="H79" i="2"/>
  <c r="I79" i="2"/>
  <c r="J79" i="2"/>
  <c r="H76" i="2"/>
  <c r="I76" i="2"/>
  <c r="J76" i="2"/>
  <c r="G76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G70" i="2"/>
  <c r="G71" i="2"/>
  <c r="G72" i="2"/>
  <c r="G73" i="2"/>
  <c r="G69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G62" i="2"/>
  <c r="G63" i="2"/>
  <c r="G64" i="2"/>
  <c r="G65" i="2"/>
  <c r="G66" i="2"/>
  <c r="G61" i="2"/>
  <c r="G53" i="2"/>
  <c r="H53" i="2"/>
  <c r="I53" i="2"/>
  <c r="J53" i="2"/>
  <c r="G54" i="2"/>
  <c r="H54" i="2"/>
  <c r="I54" i="2"/>
  <c r="J54" i="2"/>
  <c r="G55" i="2"/>
  <c r="H55" i="2"/>
  <c r="I55" i="2"/>
  <c r="J55" i="2"/>
  <c r="G56" i="2"/>
  <c r="H56" i="2"/>
  <c r="I56" i="2"/>
  <c r="J56" i="2"/>
  <c r="G57" i="2"/>
  <c r="H57" i="2"/>
  <c r="I57" i="2"/>
  <c r="J57" i="2"/>
  <c r="G58" i="2"/>
  <c r="H58" i="2"/>
  <c r="I58" i="2"/>
  <c r="J58" i="2"/>
  <c r="H52" i="2"/>
  <c r="I52" i="2"/>
  <c r="J52" i="2"/>
  <c r="G52" i="2"/>
  <c r="G44" i="2"/>
  <c r="H44" i="2"/>
  <c r="I44" i="2"/>
  <c r="J44" i="2"/>
  <c r="G45" i="2"/>
  <c r="H45" i="2"/>
  <c r="I45" i="2"/>
  <c r="J45" i="2"/>
  <c r="G46" i="2"/>
  <c r="H46" i="2"/>
  <c r="I46" i="2"/>
  <c r="J46" i="2"/>
  <c r="G47" i="2"/>
  <c r="H47" i="2"/>
  <c r="I47" i="2"/>
  <c r="J47" i="2"/>
  <c r="G48" i="2"/>
  <c r="H48" i="2"/>
  <c r="I48" i="2"/>
  <c r="J48" i="2"/>
  <c r="G49" i="2"/>
  <c r="H49" i="2"/>
  <c r="I49" i="2"/>
  <c r="J49" i="2"/>
  <c r="H43" i="2"/>
  <c r="I43" i="2"/>
  <c r="J43" i="2"/>
  <c r="G43" i="2"/>
  <c r="G35" i="2"/>
  <c r="H35" i="2"/>
  <c r="I35" i="2"/>
  <c r="J35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H34" i="2"/>
  <c r="I34" i="2"/>
  <c r="J34" i="2"/>
  <c r="G34" i="2"/>
  <c r="G24" i="2"/>
  <c r="H24" i="2"/>
  <c r="I24" i="2"/>
  <c r="J24" i="2"/>
  <c r="G25" i="2"/>
  <c r="H25" i="2"/>
  <c r="I25" i="2"/>
  <c r="J25" i="2"/>
  <c r="G26" i="2"/>
  <c r="H26" i="2"/>
  <c r="I26" i="2"/>
  <c r="J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G31" i="2"/>
  <c r="H31" i="2"/>
  <c r="I31" i="2"/>
  <c r="J31" i="2"/>
  <c r="H23" i="2"/>
  <c r="I23" i="2"/>
  <c r="J23" i="2"/>
  <c r="G23" i="2"/>
  <c r="G13" i="2"/>
  <c r="H13" i="2"/>
  <c r="I13" i="2"/>
  <c r="J13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H12" i="2"/>
  <c r="I12" i="2"/>
  <c r="J12" i="2"/>
  <c r="G12" i="2"/>
  <c r="H117" i="1"/>
  <c r="I117" i="1"/>
  <c r="J117" i="1"/>
  <c r="H118" i="1"/>
  <c r="I118" i="1"/>
  <c r="J118" i="1"/>
  <c r="H119" i="1"/>
  <c r="I119" i="1"/>
  <c r="J119" i="1"/>
  <c r="H120" i="1"/>
  <c r="I120" i="1"/>
  <c r="J120" i="1"/>
  <c r="G118" i="1"/>
  <c r="G119" i="1"/>
  <c r="G120" i="1"/>
  <c r="G117" i="1"/>
  <c r="G110" i="1"/>
  <c r="H114" i="1"/>
  <c r="I114" i="1"/>
  <c r="J114" i="1"/>
  <c r="G114" i="1"/>
  <c r="H113" i="1"/>
  <c r="I113" i="1"/>
  <c r="J113" i="1"/>
  <c r="G113" i="1"/>
  <c r="H111" i="1"/>
  <c r="I111" i="1"/>
  <c r="J111" i="1"/>
  <c r="G111" i="1"/>
  <c r="H110" i="1"/>
  <c r="I110" i="1"/>
  <c r="J110" i="1"/>
  <c r="G100" i="1"/>
  <c r="H100" i="1"/>
  <c r="I100" i="1"/>
  <c r="J100" i="1"/>
  <c r="H99" i="1"/>
  <c r="I99" i="1"/>
  <c r="J99" i="1"/>
  <c r="H98" i="1"/>
  <c r="I98" i="1"/>
  <c r="J98" i="1"/>
  <c r="G92" i="1"/>
  <c r="G99" i="1"/>
  <c r="G88" i="1"/>
  <c r="G98" i="1"/>
  <c r="H64" i="4" s="1"/>
  <c r="G90" i="1"/>
  <c r="H92" i="1"/>
  <c r="I92" i="1"/>
  <c r="J92" i="1"/>
  <c r="H90" i="1"/>
  <c r="I90" i="1"/>
  <c r="J90" i="1"/>
  <c r="H88" i="1"/>
  <c r="I88" i="1"/>
  <c r="J88" i="1"/>
  <c r="H76" i="1"/>
  <c r="I76" i="1"/>
  <c r="J76" i="1"/>
  <c r="H74" i="1"/>
  <c r="I74" i="1"/>
  <c r="J74" i="1"/>
  <c r="H71" i="1"/>
  <c r="I71" i="1"/>
  <c r="J71" i="1"/>
  <c r="H70" i="1"/>
  <c r="I70" i="1"/>
  <c r="J70" i="1"/>
  <c r="G76" i="1"/>
  <c r="G67" i="1"/>
  <c r="G63" i="1"/>
  <c r="G66" i="1"/>
  <c r="G74" i="1"/>
  <c r="G71" i="1"/>
  <c r="G70" i="1"/>
  <c r="G61" i="1"/>
  <c r="H67" i="1"/>
  <c r="I67" i="1"/>
  <c r="J67" i="1"/>
  <c r="H66" i="1"/>
  <c r="I66" i="1"/>
  <c r="J66" i="1"/>
  <c r="H63" i="1"/>
  <c r="I63" i="1"/>
  <c r="J63" i="1"/>
  <c r="H61" i="1"/>
  <c r="I61" i="1"/>
  <c r="J61" i="1"/>
  <c r="E125" i="1"/>
  <c r="F125" i="1"/>
  <c r="E126" i="1"/>
  <c r="F126" i="1"/>
  <c r="E127" i="1"/>
  <c r="F127" i="1"/>
  <c r="F124" i="1"/>
  <c r="E124" i="1"/>
  <c r="E121" i="1"/>
  <c r="F121" i="1"/>
  <c r="E112" i="1"/>
  <c r="F112" i="1"/>
  <c r="E104" i="1"/>
  <c r="F104" i="1"/>
  <c r="E105" i="1"/>
  <c r="F105" i="1"/>
  <c r="E106" i="1"/>
  <c r="F106" i="1"/>
  <c r="E107" i="1"/>
  <c r="F107" i="1"/>
  <c r="F103" i="1"/>
  <c r="E103" i="1"/>
  <c r="E96" i="1"/>
  <c r="F96" i="1"/>
  <c r="E97" i="1"/>
  <c r="F97" i="1"/>
  <c r="F95" i="1"/>
  <c r="E95" i="1"/>
  <c r="E89" i="1"/>
  <c r="F89" i="1"/>
  <c r="E91" i="1"/>
  <c r="F91" i="1"/>
  <c r="F87" i="1"/>
  <c r="E87" i="1"/>
  <c r="E80" i="1"/>
  <c r="F80" i="1"/>
  <c r="E81" i="1"/>
  <c r="F81" i="1"/>
  <c r="E82" i="1"/>
  <c r="F82" i="1"/>
  <c r="E83" i="1"/>
  <c r="F83" i="1"/>
  <c r="E84" i="1"/>
  <c r="F84" i="1"/>
  <c r="F79" i="1"/>
  <c r="E79" i="1"/>
  <c r="E72" i="1"/>
  <c r="F72" i="1"/>
  <c r="E73" i="1"/>
  <c r="F73" i="1"/>
  <c r="E75" i="1"/>
  <c r="F75" i="1"/>
  <c r="E62" i="1"/>
  <c r="F62" i="1"/>
  <c r="E64" i="1"/>
  <c r="F64" i="1"/>
  <c r="E65" i="1"/>
  <c r="F65" i="1"/>
  <c r="E53" i="1"/>
  <c r="F53" i="1"/>
  <c r="E54" i="1"/>
  <c r="F54" i="1"/>
  <c r="E55" i="1"/>
  <c r="F55" i="1"/>
  <c r="E56" i="1"/>
  <c r="F56" i="1"/>
  <c r="E57" i="1"/>
  <c r="F57" i="1"/>
  <c r="E58" i="1"/>
  <c r="F58" i="1"/>
  <c r="F52" i="1"/>
  <c r="E52" i="1"/>
  <c r="E44" i="1"/>
  <c r="F44" i="1"/>
  <c r="E45" i="1"/>
  <c r="F45" i="1"/>
  <c r="E46" i="1"/>
  <c r="F46" i="1"/>
  <c r="E47" i="1"/>
  <c r="F47" i="1"/>
  <c r="E48" i="1"/>
  <c r="F48" i="1"/>
  <c r="E49" i="1"/>
  <c r="F49" i="1"/>
  <c r="F43" i="1"/>
  <c r="E43" i="1"/>
  <c r="E35" i="1"/>
  <c r="F35" i="1"/>
  <c r="E36" i="1"/>
  <c r="F36" i="1"/>
  <c r="E37" i="1"/>
  <c r="F37" i="1"/>
  <c r="E38" i="1"/>
  <c r="F38" i="1"/>
  <c r="E39" i="1"/>
  <c r="F39" i="1"/>
  <c r="E40" i="1"/>
  <c r="F40" i="1"/>
  <c r="F34" i="1"/>
  <c r="E34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3" i="1"/>
  <c r="E23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F12" i="1"/>
  <c r="E12" i="1"/>
  <c r="E57" i="4" l="1"/>
  <c r="E39" i="2"/>
  <c r="F71" i="2"/>
  <c r="E63" i="4"/>
  <c r="F65" i="2"/>
  <c r="F44" i="2"/>
  <c r="F28" i="2"/>
  <c r="F64" i="2"/>
  <c r="F26" i="2"/>
  <c r="F24" i="2"/>
  <c r="F30" i="4"/>
  <c r="F30" i="2"/>
  <c r="E118" i="1"/>
  <c r="E55" i="4"/>
  <c r="G66" i="3"/>
  <c r="E34" i="2"/>
  <c r="E57" i="2"/>
  <c r="E55" i="2"/>
  <c r="E53" i="2"/>
  <c r="E44" i="3"/>
  <c r="E46" i="3"/>
  <c r="F48" i="3"/>
  <c r="F19" i="2"/>
  <c r="F15" i="2"/>
  <c r="F31" i="2"/>
  <c r="F29" i="2"/>
  <c r="F27" i="2"/>
  <c r="F25" i="2"/>
  <c r="F70" i="2"/>
  <c r="E24" i="3"/>
  <c r="E30" i="3"/>
  <c r="J64" i="4"/>
  <c r="E76" i="4"/>
  <c r="E78" i="4"/>
  <c r="H69" i="4"/>
  <c r="E72" i="2"/>
  <c r="E78" i="3"/>
  <c r="F48" i="2"/>
  <c r="E58" i="2"/>
  <c r="E56" i="2"/>
  <c r="E54" i="2"/>
  <c r="F23" i="3"/>
  <c r="F25" i="3"/>
  <c r="F27" i="3"/>
  <c r="F29" i="3"/>
  <c r="F31" i="3"/>
  <c r="F78" i="4"/>
  <c r="F79" i="2"/>
  <c r="F78" i="2"/>
  <c r="G69" i="3"/>
  <c r="J70" i="3"/>
  <c r="J72" i="3"/>
  <c r="J73" i="3"/>
  <c r="E120" i="1"/>
  <c r="F119" i="1"/>
  <c r="G69" i="4"/>
  <c r="G71" i="4"/>
  <c r="E70" i="2"/>
  <c r="E71" i="2"/>
  <c r="G70" i="3"/>
  <c r="I72" i="3"/>
  <c r="I73" i="3"/>
  <c r="H69" i="3"/>
  <c r="G70" i="4"/>
  <c r="J70" i="4"/>
  <c r="F65" i="3"/>
  <c r="F63" i="3"/>
  <c r="F61" i="3"/>
  <c r="F63" i="2"/>
  <c r="J66" i="3"/>
  <c r="G62" i="3"/>
  <c r="J65" i="4"/>
  <c r="G66" i="4"/>
  <c r="F66" i="2"/>
  <c r="F62" i="2"/>
  <c r="G64" i="3"/>
  <c r="J64" i="3"/>
  <c r="I64" i="3"/>
  <c r="I66" i="3"/>
  <c r="H65" i="4"/>
  <c r="F55" i="4"/>
  <c r="F54" i="4"/>
  <c r="E56" i="3"/>
  <c r="E74" i="1"/>
  <c r="I58" i="4"/>
  <c r="H52" i="3"/>
  <c r="J57" i="3"/>
  <c r="J56" i="4"/>
  <c r="J52" i="3"/>
  <c r="I58" i="3"/>
  <c r="F70" i="1"/>
  <c r="J53" i="4"/>
  <c r="J58" i="4"/>
  <c r="I57" i="3"/>
  <c r="F49" i="4"/>
  <c r="E43" i="4"/>
  <c r="F45" i="4"/>
  <c r="F47" i="4"/>
  <c r="F49" i="3"/>
  <c r="F34" i="2"/>
  <c r="E34" i="4"/>
  <c r="E37" i="2"/>
  <c r="E35" i="2"/>
  <c r="E24" i="4"/>
  <c r="E28" i="4"/>
  <c r="E26" i="2"/>
  <c r="E26" i="4"/>
  <c r="E30" i="2"/>
  <c r="E17" i="4"/>
  <c r="F18" i="2"/>
  <c r="F17" i="2"/>
  <c r="F16" i="2"/>
  <c r="F13" i="2"/>
  <c r="F13" i="4"/>
  <c r="F15" i="4"/>
  <c r="F77" i="4"/>
  <c r="E79" i="2"/>
  <c r="E78" i="2"/>
  <c r="F76" i="3"/>
  <c r="F77" i="3"/>
  <c r="F78" i="3"/>
  <c r="F79" i="3"/>
  <c r="F79" i="4"/>
  <c r="E76" i="3"/>
  <c r="F76" i="4"/>
  <c r="E73" i="4"/>
  <c r="E61" i="4"/>
  <c r="F63" i="4"/>
  <c r="F62" i="4"/>
  <c r="F71" i="3"/>
  <c r="E119" i="1"/>
  <c r="J69" i="3"/>
  <c r="E69" i="3" s="1"/>
  <c r="I70" i="3"/>
  <c r="J69" i="4"/>
  <c r="I72" i="4"/>
  <c r="I71" i="4"/>
  <c r="I70" i="4"/>
  <c r="J72" i="4"/>
  <c r="E113" i="1"/>
  <c r="E114" i="1"/>
  <c r="F118" i="1"/>
  <c r="I69" i="3"/>
  <c r="H73" i="3"/>
  <c r="H72" i="3"/>
  <c r="H70" i="3"/>
  <c r="I69" i="4"/>
  <c r="H72" i="4"/>
  <c r="H71" i="4"/>
  <c r="E71" i="4" s="1"/>
  <c r="H70" i="4"/>
  <c r="J71" i="4"/>
  <c r="G73" i="3"/>
  <c r="G72" i="3"/>
  <c r="G72" i="4"/>
  <c r="E64" i="2"/>
  <c r="I62" i="3"/>
  <c r="I66" i="4"/>
  <c r="I65" i="4"/>
  <c r="I64" i="4"/>
  <c r="H66" i="3"/>
  <c r="H64" i="3"/>
  <c r="H62" i="3"/>
  <c r="H66" i="4"/>
  <c r="E66" i="4" s="1"/>
  <c r="J62" i="3"/>
  <c r="J66" i="4"/>
  <c r="F99" i="1"/>
  <c r="E63" i="2"/>
  <c r="F98" i="1"/>
  <c r="E66" i="2"/>
  <c r="E65" i="2"/>
  <c r="E62" i="2"/>
  <c r="G65" i="4"/>
  <c r="G64" i="4"/>
  <c r="F57" i="4"/>
  <c r="F56" i="3"/>
  <c r="F55" i="3"/>
  <c r="F53" i="3"/>
  <c r="E63" i="1"/>
  <c r="G52" i="4"/>
  <c r="F71" i="1"/>
  <c r="F67" i="1"/>
  <c r="F58" i="2"/>
  <c r="F57" i="2"/>
  <c r="F56" i="2"/>
  <c r="F55" i="2"/>
  <c r="F54" i="2"/>
  <c r="F53" i="2"/>
  <c r="I52" i="3"/>
  <c r="H58" i="3"/>
  <c r="H57" i="3"/>
  <c r="H54" i="3"/>
  <c r="J52" i="4"/>
  <c r="I56" i="4"/>
  <c r="I53" i="4"/>
  <c r="F76" i="1"/>
  <c r="G58" i="3"/>
  <c r="G57" i="3"/>
  <c r="G54" i="3"/>
  <c r="I52" i="4"/>
  <c r="H58" i="4"/>
  <c r="H56" i="4"/>
  <c r="H53" i="4"/>
  <c r="I54" i="3"/>
  <c r="F61" i="1"/>
  <c r="G52" i="3"/>
  <c r="J58" i="3"/>
  <c r="J54" i="3"/>
  <c r="H52" i="4"/>
  <c r="G58" i="4"/>
  <c r="G56" i="4"/>
  <c r="F56" i="4" s="1"/>
  <c r="G53" i="4"/>
  <c r="F44" i="3"/>
  <c r="F46" i="3"/>
  <c r="F44" i="4"/>
  <c r="E49" i="4"/>
  <c r="F49" i="2"/>
  <c r="E48" i="2"/>
  <c r="F47" i="2"/>
  <c r="E46" i="2"/>
  <c r="F45" i="2"/>
  <c r="E44" i="2"/>
  <c r="E49" i="3"/>
  <c r="E46" i="4"/>
  <c r="F48" i="4"/>
  <c r="E43" i="2"/>
  <c r="E43" i="3"/>
  <c r="E45" i="3"/>
  <c r="E47" i="3"/>
  <c r="E45" i="4"/>
  <c r="E47" i="4"/>
  <c r="F43" i="3"/>
  <c r="F45" i="3"/>
  <c r="F47" i="3"/>
  <c r="F43" i="4"/>
  <c r="F34" i="3"/>
  <c r="F35" i="3"/>
  <c r="F36" i="3"/>
  <c r="F37" i="3"/>
  <c r="F38" i="3"/>
  <c r="F39" i="3"/>
  <c r="F40" i="3"/>
  <c r="F34" i="4"/>
  <c r="F36" i="4"/>
  <c r="F38" i="4"/>
  <c r="F40" i="4"/>
  <c r="F40" i="2"/>
  <c r="F39" i="2"/>
  <c r="F38" i="2"/>
  <c r="F37" i="2"/>
  <c r="F36" i="2"/>
  <c r="F35" i="2"/>
  <c r="E34" i="3"/>
  <c r="E36" i="3"/>
  <c r="E38" i="3"/>
  <c r="E40" i="3"/>
  <c r="F35" i="4"/>
  <c r="F37" i="4"/>
  <c r="F39" i="4"/>
  <c r="E27" i="2"/>
  <c r="F25" i="4"/>
  <c r="F27" i="4"/>
  <c r="E30" i="4"/>
  <c r="E24" i="2"/>
  <c r="E28" i="2"/>
  <c r="F24" i="3"/>
  <c r="F26" i="3"/>
  <c r="F28" i="3"/>
  <c r="F30" i="3"/>
  <c r="F31" i="4"/>
  <c r="F23" i="4"/>
  <c r="F29" i="4"/>
  <c r="E25" i="2"/>
  <c r="E29" i="2"/>
  <c r="E23" i="3"/>
  <c r="E25" i="3"/>
  <c r="E26" i="3"/>
  <c r="E28" i="3"/>
  <c r="E31" i="3"/>
  <c r="F24" i="4"/>
  <c r="F26" i="4"/>
  <c r="F28" i="4"/>
  <c r="F14" i="2"/>
  <c r="F12" i="3"/>
  <c r="F13" i="3"/>
  <c r="F14" i="3"/>
  <c r="F15" i="3"/>
  <c r="F16" i="3"/>
  <c r="F17" i="3"/>
  <c r="F18" i="3"/>
  <c r="F19" i="3"/>
  <c r="F20" i="3"/>
  <c r="F17" i="4"/>
  <c r="F19" i="4"/>
  <c r="F20" i="2"/>
  <c r="E19" i="2"/>
  <c r="E18" i="2"/>
  <c r="E17" i="2"/>
  <c r="E16" i="2"/>
  <c r="E15" i="2"/>
  <c r="E13" i="2"/>
  <c r="F12" i="4"/>
  <c r="F14" i="4"/>
  <c r="F16" i="4"/>
  <c r="E13" i="3"/>
  <c r="E15" i="3"/>
  <c r="E17" i="3"/>
  <c r="E19" i="3"/>
  <c r="F18" i="4"/>
  <c r="F20" i="4"/>
  <c r="F73" i="4"/>
  <c r="E62" i="4"/>
  <c r="F61" i="4"/>
  <c r="E54" i="4"/>
  <c r="E77" i="4"/>
  <c r="E79" i="4"/>
  <c r="E36" i="4"/>
  <c r="E38" i="4"/>
  <c r="E40" i="4"/>
  <c r="E23" i="4"/>
  <c r="E25" i="4"/>
  <c r="E27" i="4"/>
  <c r="E29" i="4"/>
  <c r="E31" i="4"/>
  <c r="E44" i="4"/>
  <c r="E48" i="4"/>
  <c r="E12" i="4"/>
  <c r="E14" i="4"/>
  <c r="E16" i="4"/>
  <c r="E18" i="4"/>
  <c r="E20" i="4"/>
  <c r="E35" i="4"/>
  <c r="E37" i="4"/>
  <c r="E39" i="4"/>
  <c r="F46" i="4"/>
  <c r="E13" i="4"/>
  <c r="E15" i="4"/>
  <c r="E19" i="4"/>
  <c r="E14" i="2"/>
  <c r="E77" i="3"/>
  <c r="E79" i="3"/>
  <c r="E71" i="3"/>
  <c r="E63" i="3"/>
  <c r="E65" i="3"/>
  <c r="E61" i="3"/>
  <c r="E53" i="3"/>
  <c r="E55" i="3"/>
  <c r="E27" i="3"/>
  <c r="E29" i="3"/>
  <c r="E48" i="3"/>
  <c r="E14" i="3"/>
  <c r="E16" i="3"/>
  <c r="E18" i="3"/>
  <c r="E20" i="3"/>
  <c r="E35" i="3"/>
  <c r="E37" i="3"/>
  <c r="E39" i="3"/>
  <c r="E12" i="3"/>
  <c r="F77" i="2"/>
  <c r="E77" i="2"/>
  <c r="F76" i="2"/>
  <c r="E76" i="2"/>
  <c r="F73" i="2"/>
  <c r="F72" i="2"/>
  <c r="F69" i="2"/>
  <c r="E73" i="2"/>
  <c r="E69" i="2"/>
  <c r="F61" i="2"/>
  <c r="E61" i="2"/>
  <c r="E52" i="2"/>
  <c r="F52" i="2"/>
  <c r="E45" i="2"/>
  <c r="E47" i="2"/>
  <c r="E49" i="2"/>
  <c r="F46" i="2"/>
  <c r="F43" i="2"/>
  <c r="E36" i="2"/>
  <c r="E38" i="2"/>
  <c r="E40" i="2"/>
  <c r="E31" i="2"/>
  <c r="E23" i="2"/>
  <c r="F23" i="2"/>
  <c r="E20" i="2"/>
  <c r="F12" i="2"/>
  <c r="E12" i="2"/>
  <c r="F117" i="1"/>
  <c r="F120" i="1"/>
  <c r="E117" i="1"/>
  <c r="F114" i="1"/>
  <c r="F113" i="1"/>
  <c r="E111" i="1"/>
  <c r="F111" i="1"/>
  <c r="E110" i="1"/>
  <c r="F110" i="1"/>
  <c r="E100" i="1"/>
  <c r="F100" i="1"/>
  <c r="E99" i="1"/>
  <c r="E98" i="1"/>
  <c r="E92" i="1"/>
  <c r="E90" i="1"/>
  <c r="F88" i="1"/>
  <c r="F92" i="1"/>
  <c r="F90" i="1"/>
  <c r="E88" i="1"/>
  <c r="E76" i="1"/>
  <c r="E66" i="1"/>
  <c r="F74" i="1"/>
  <c r="E71" i="1"/>
  <c r="E70" i="1"/>
  <c r="E67" i="1"/>
  <c r="F66" i="1"/>
  <c r="F63" i="1"/>
  <c r="E61" i="1"/>
  <c r="F66" i="3" l="1"/>
  <c r="F58" i="4"/>
  <c r="E52" i="4"/>
  <c r="E62" i="3"/>
  <c r="F69" i="4"/>
  <c r="E72" i="4"/>
  <c r="E70" i="3"/>
  <c r="E72" i="3"/>
  <c r="F64" i="4"/>
  <c r="E58" i="3"/>
  <c r="F52" i="3"/>
  <c r="E73" i="3"/>
  <c r="F73" i="3"/>
  <c r="F71" i="4"/>
  <c r="F69" i="3"/>
  <c r="E69" i="4"/>
  <c r="F70" i="4"/>
  <c r="E64" i="3"/>
  <c r="E65" i="4"/>
  <c r="E64" i="4"/>
  <c r="F65" i="4"/>
  <c r="E66" i="3"/>
  <c r="E56" i="4"/>
  <c r="E57" i="3"/>
  <c r="F58" i="3"/>
  <c r="F54" i="3"/>
  <c r="F70" i="3"/>
  <c r="E70" i="4"/>
  <c r="F72" i="4"/>
  <c r="F72" i="3"/>
  <c r="F66" i="4"/>
  <c r="F64" i="3"/>
  <c r="F62" i="3"/>
  <c r="E58" i="4"/>
  <c r="F57" i="3"/>
  <c r="E52" i="3"/>
  <c r="E53" i="4"/>
  <c r="E54" i="3"/>
  <c r="F52" i="4"/>
  <c r="F53" i="4"/>
  <c r="E77" i="1"/>
  <c r="E101" i="1"/>
  <c r="E122" i="1"/>
  <c r="H5" i="2"/>
  <c r="H6" i="2"/>
  <c r="H4" i="2"/>
  <c r="C6" i="2"/>
  <c r="C5" i="2"/>
  <c r="C4" i="2"/>
  <c r="C83" i="4"/>
  <c r="C83" i="3"/>
  <c r="C83" i="2"/>
  <c r="F32" i="1"/>
  <c r="G21" i="2"/>
  <c r="H21" i="2"/>
  <c r="I21" i="2"/>
  <c r="J21" i="2"/>
  <c r="E22" i="2"/>
  <c r="F22" i="2"/>
  <c r="G22" i="2"/>
  <c r="H22" i="2"/>
  <c r="I22" i="2"/>
  <c r="J22" i="2"/>
  <c r="F32" i="2"/>
  <c r="G32" i="2"/>
  <c r="H32" i="2"/>
  <c r="I32" i="2"/>
  <c r="J32" i="2"/>
  <c r="E33" i="2"/>
  <c r="F33" i="2"/>
  <c r="G33" i="2"/>
  <c r="H33" i="2"/>
  <c r="I33" i="2"/>
  <c r="J33" i="2"/>
  <c r="F41" i="2"/>
  <c r="G41" i="2"/>
  <c r="H41" i="2"/>
  <c r="I41" i="2"/>
  <c r="J41" i="2"/>
  <c r="E42" i="2"/>
  <c r="F42" i="2"/>
  <c r="G42" i="2"/>
  <c r="H42" i="2"/>
  <c r="I42" i="2"/>
  <c r="J42" i="2"/>
  <c r="F50" i="2"/>
  <c r="G50" i="2"/>
  <c r="H50" i="2"/>
  <c r="I50" i="2"/>
  <c r="J50" i="2"/>
  <c r="D80" i="4"/>
  <c r="D74" i="4"/>
  <c r="D67" i="4"/>
  <c r="D59" i="4"/>
  <c r="D80" i="3"/>
  <c r="D74" i="3"/>
  <c r="D67" i="3"/>
  <c r="D59" i="3"/>
  <c r="D80" i="2"/>
  <c r="D74" i="2"/>
  <c r="D67" i="2"/>
  <c r="D59" i="2"/>
  <c r="D50" i="2"/>
  <c r="D41" i="2"/>
  <c r="D32" i="2"/>
  <c r="D21" i="2"/>
  <c r="I129" i="1"/>
  <c r="D108" i="1"/>
  <c r="D122" i="1"/>
  <c r="D128" i="1"/>
  <c r="D115" i="1"/>
  <c r="D101" i="1"/>
  <c r="D93" i="1"/>
  <c r="D85" i="1"/>
  <c r="D77" i="1"/>
  <c r="D68" i="1"/>
  <c r="D59" i="1"/>
  <c r="D50" i="1"/>
  <c r="D41" i="1"/>
  <c r="D21" i="1"/>
  <c r="F21" i="1"/>
  <c r="D32" i="1"/>
  <c r="F21" i="2"/>
  <c r="F21" i="4" l="1"/>
  <c r="F21" i="3"/>
  <c r="F32" i="4"/>
  <c r="F32" i="3"/>
  <c r="I81" i="2"/>
  <c r="I81" i="4"/>
  <c r="E128" i="1"/>
  <c r="E74" i="4"/>
  <c r="E67" i="4"/>
  <c r="E59" i="4"/>
  <c r="E68" i="1"/>
  <c r="E59" i="2"/>
  <c r="E67" i="3"/>
  <c r="E93" i="1"/>
  <c r="E59" i="3"/>
  <c r="E59" i="1"/>
  <c r="E115" i="1"/>
  <c r="E41" i="1"/>
  <c r="E108" i="1"/>
  <c r="E74" i="3"/>
  <c r="E50" i="1"/>
  <c r="E32" i="1"/>
  <c r="I81" i="3"/>
  <c r="E67" i="2"/>
  <c r="E85" i="1"/>
  <c r="E80" i="2"/>
  <c r="E21" i="1"/>
  <c r="E50" i="4" l="1"/>
  <c r="E50" i="3"/>
  <c r="E41" i="3"/>
  <c r="E41" i="4"/>
  <c r="E32" i="4"/>
  <c r="E32" i="3"/>
  <c r="E21" i="3"/>
  <c r="E21" i="4"/>
  <c r="E80" i="3"/>
  <c r="E80" i="4"/>
  <c r="E74" i="2"/>
  <c r="E41" i="2"/>
  <c r="E21" i="2"/>
  <c r="D129" i="1"/>
  <c r="C7" i="1" s="1"/>
  <c r="D132" i="1"/>
  <c r="D83" i="3" s="1"/>
  <c r="D131" i="1"/>
  <c r="D83" i="2" s="1"/>
  <c r="D133" i="1"/>
  <c r="D83" i="4" s="1"/>
  <c r="E32" i="2"/>
  <c r="E50" i="2"/>
  <c r="D81" i="3" l="1"/>
  <c r="A7" i="3" s="1"/>
  <c r="D81" i="2"/>
  <c r="A7" i="2" s="1"/>
  <c r="D81" i="4"/>
  <c r="A7" i="4" s="1"/>
</calcChain>
</file>

<file path=xl/sharedStrings.xml><?xml version="1.0" encoding="utf-8"?>
<sst xmlns="http://schemas.openxmlformats.org/spreadsheetml/2006/main" count="732" uniqueCount="186">
  <si>
    <t>Hasil Transfer Nilai Sementara</t>
  </si>
  <si>
    <t>Nama Calon Mhs</t>
  </si>
  <si>
    <t>: -</t>
  </si>
  <si>
    <t>Asal PT/Univ.</t>
  </si>
  <si>
    <t>Fakultas</t>
  </si>
  <si>
    <t>Matakuliah Asal</t>
  </si>
  <si>
    <t>NO</t>
  </si>
  <si>
    <t>KODE</t>
  </si>
  <si>
    <t>MATA KULIAH</t>
  </si>
  <si>
    <t>SKS</t>
  </si>
  <si>
    <t>SKS Diakui</t>
  </si>
  <si>
    <t>Nilai</t>
  </si>
  <si>
    <t>SEMESTER 1</t>
  </si>
  <si>
    <t>SI9105</t>
  </si>
  <si>
    <t>Seni dan Budaya</t>
  </si>
  <si>
    <t>SI0201</t>
  </si>
  <si>
    <t>Matematika Diskrit</t>
  </si>
  <si>
    <t>SI0202</t>
  </si>
  <si>
    <t>Algoritma dan Pemrograman</t>
  </si>
  <si>
    <t>Praktikum Algoritma dan Pemrograman</t>
  </si>
  <si>
    <t>SI9203</t>
  </si>
  <si>
    <t>Pengantar Teknologi Informasi</t>
  </si>
  <si>
    <t>SI9301</t>
  </si>
  <si>
    <t>Praktikum Pengantar Teknologi Informasi</t>
  </si>
  <si>
    <t>SI0102</t>
  </si>
  <si>
    <t>Pancasila</t>
  </si>
  <si>
    <t>Konsep dan Aplikasi Sistem Informasi</t>
  </si>
  <si>
    <t>Total SKS</t>
  </si>
  <si>
    <t>SEMESTER 2</t>
  </si>
  <si>
    <t>SI0205</t>
  </si>
  <si>
    <t>Komunikasi Data</t>
  </si>
  <si>
    <t>SI0206</t>
  </si>
  <si>
    <t>Basis Data</t>
  </si>
  <si>
    <t>SI0303</t>
  </si>
  <si>
    <t>Praktikum Basis data</t>
  </si>
  <si>
    <t>SI0209</t>
  </si>
  <si>
    <t>Struktur Data</t>
  </si>
  <si>
    <t>SI0304</t>
  </si>
  <si>
    <t>Praktikum Struktur Data</t>
  </si>
  <si>
    <t>Organisasi Komputer</t>
  </si>
  <si>
    <t>SI9106</t>
  </si>
  <si>
    <t xml:space="preserve">Bahasa Inggris II </t>
  </si>
  <si>
    <t>SI0103</t>
  </si>
  <si>
    <t>Kewarganegaraan</t>
  </si>
  <si>
    <t>SI0101</t>
  </si>
  <si>
    <t>Pendidikan Agama</t>
  </si>
  <si>
    <t>SEMESTER 3</t>
  </si>
  <si>
    <t>SI0212</t>
  </si>
  <si>
    <t xml:space="preserve">Jaringan Komputer </t>
  </si>
  <si>
    <t>SI0305</t>
  </si>
  <si>
    <t xml:space="preserve">Praktikum Jaringan Komputer </t>
  </si>
  <si>
    <t>SI0306</t>
  </si>
  <si>
    <t>Perancangan Web</t>
  </si>
  <si>
    <t>Analisis dan Perancangan Sistem</t>
  </si>
  <si>
    <t>SI0307</t>
  </si>
  <si>
    <t>Pemrograman Berorientasi Obyek</t>
  </si>
  <si>
    <t>Sistem Operasi</t>
  </si>
  <si>
    <t>Kalkulus</t>
  </si>
  <si>
    <t xml:space="preserve">SEMESTER 4 </t>
  </si>
  <si>
    <t>SI9241</t>
  </si>
  <si>
    <t>Akuntansi</t>
  </si>
  <si>
    <t>SI9501</t>
  </si>
  <si>
    <t>Komunikasi Bisnis</t>
  </si>
  <si>
    <t>SI9218</t>
  </si>
  <si>
    <t xml:space="preserve">Interaksi Manusia dan Komputer </t>
  </si>
  <si>
    <t>SI0104</t>
  </si>
  <si>
    <t>Bahasa Indonesia</t>
  </si>
  <si>
    <t>SI9308</t>
  </si>
  <si>
    <t>Pemrograman Web</t>
  </si>
  <si>
    <t>Pemodelan Berorientasi Obyek</t>
  </si>
  <si>
    <t>Mobile Programming</t>
  </si>
  <si>
    <t>SEMESTER 5 ENTERPRICE SISTEM (ES)</t>
  </si>
  <si>
    <t>Metodologi Penulisan Ilmiah</t>
  </si>
  <si>
    <t>SI9242</t>
  </si>
  <si>
    <t>Cloud Computing</t>
  </si>
  <si>
    <t>SI0213</t>
  </si>
  <si>
    <t>Rekayasa Perangkat Lunak</t>
  </si>
  <si>
    <t>Pemrograman Visual</t>
  </si>
  <si>
    <t>Statistik</t>
  </si>
  <si>
    <t>Enterprise Architecture</t>
  </si>
  <si>
    <t xml:space="preserve">User Experience </t>
  </si>
  <si>
    <t>SEMESTER 5 GAME AND MULTIMEDIA (G&amp;M)</t>
  </si>
  <si>
    <t>SI9254</t>
  </si>
  <si>
    <t>Advertising dan Social Media</t>
  </si>
  <si>
    <t>SI9253</t>
  </si>
  <si>
    <t>Audio Video Editing</t>
  </si>
  <si>
    <t>SI9252</t>
  </si>
  <si>
    <t>Desain Grafis</t>
  </si>
  <si>
    <t>SEMESTER 5 INFORMATION SISTEM (IS)</t>
  </si>
  <si>
    <t>Artificial Intelligence</t>
  </si>
  <si>
    <t>SI0265</t>
  </si>
  <si>
    <t>Pengolahan Citra Digital</t>
  </si>
  <si>
    <t>Teknik Peramalan</t>
  </si>
  <si>
    <t>SEMESTER 6 ENTERPRICE SISTEM (ES)</t>
  </si>
  <si>
    <t xml:space="preserve">Information System Security </t>
  </si>
  <si>
    <t>Sistem Informasi Geografis</t>
  </si>
  <si>
    <t>IT Governance</t>
  </si>
  <si>
    <t>Sistem Informasi Akuntansi</t>
  </si>
  <si>
    <t>SI9502</t>
  </si>
  <si>
    <t>ERP</t>
  </si>
  <si>
    <t>Supply Chain Management</t>
  </si>
  <si>
    <t>SEMESTER 6 GAME AND MULTIMEDIA (G&amp;M)</t>
  </si>
  <si>
    <t>Komputer Animasi</t>
  </si>
  <si>
    <t>Story Boarding &amp; Concept Art</t>
  </si>
  <si>
    <t>Game Programming</t>
  </si>
  <si>
    <t>SEMESTER 6 INFORMATION SISTEM (IS)</t>
  </si>
  <si>
    <t>Data Visualization</t>
  </si>
  <si>
    <t>SI9262</t>
  </si>
  <si>
    <t>Data Warehouse</t>
  </si>
  <si>
    <t xml:space="preserve">Sistem Pakar </t>
  </si>
  <si>
    <t>SEMESTER 7 ENTERPRICE SISTEM (ES)</t>
  </si>
  <si>
    <t>SI9492</t>
  </si>
  <si>
    <t>Tugas Akhir I</t>
  </si>
  <si>
    <t>SI9491</t>
  </si>
  <si>
    <t>Kerja Praktek</t>
  </si>
  <si>
    <t>Project Management</t>
  </si>
  <si>
    <t>Kewirausahaan</t>
  </si>
  <si>
    <t>Audit Sistem Informasi</t>
  </si>
  <si>
    <t>SEMESTER 7 GAME AND MULTIMEDIA (G&amp;M)</t>
  </si>
  <si>
    <t>Multimedia Pembelajaran</t>
  </si>
  <si>
    <t>SEMESTER 7 INFORMATION SISTEM (IS)</t>
  </si>
  <si>
    <t>Data Mining</t>
  </si>
  <si>
    <t>SEMESTER 8</t>
  </si>
  <si>
    <t>SI9493</t>
  </si>
  <si>
    <t>Tugas Akhir II</t>
  </si>
  <si>
    <t>E-Commerce</t>
  </si>
  <si>
    <t>SI9261</t>
  </si>
  <si>
    <t>Technopreneurship</t>
  </si>
  <si>
    <t>SI0401</t>
  </si>
  <si>
    <t>Etika Profesi</t>
  </si>
  <si>
    <t>SKS STIKOM BALI</t>
  </si>
  <si>
    <t>SKS ASAL</t>
  </si>
  <si>
    <t>ENTERPRICE SYSTEM (ES)</t>
  </si>
  <si>
    <t>GAME &amp; MULTIMEDIA (G&amp;M)</t>
  </si>
  <si>
    <t>INTELEGENT SYSTEM (IS)</t>
  </si>
  <si>
    <t>Prodi</t>
  </si>
  <si>
    <t>Jenjang</t>
  </si>
  <si>
    <t>Tgl. Proses</t>
  </si>
  <si>
    <t>Program Studi Sistem Informasi ITB STIKOM Bali</t>
  </si>
  <si>
    <t>Total SKS ditransfer</t>
  </si>
  <si>
    <t>Bahasa Inggris I</t>
  </si>
  <si>
    <t>SI9208</t>
  </si>
  <si>
    <t>SI0221</t>
  </si>
  <si>
    <t>SI0204</t>
  </si>
  <si>
    <t>SI0302</t>
  </si>
  <si>
    <t>SI9207</t>
  </si>
  <si>
    <t>SI0211</t>
  </si>
  <si>
    <t>SI0217</t>
  </si>
  <si>
    <t>SI9251</t>
  </si>
  <si>
    <t>SI9215</t>
  </si>
  <si>
    <t>SI9216</t>
  </si>
  <si>
    <t>SI0210</t>
  </si>
  <si>
    <t>SI9351</t>
  </si>
  <si>
    <t>SI9357</t>
  </si>
  <si>
    <t>SI9220</t>
  </si>
  <si>
    <t>SI9263</t>
  </si>
  <si>
    <t>SI0274</t>
  </si>
  <si>
    <t>SI0275</t>
  </si>
  <si>
    <t>SI0276</t>
  </si>
  <si>
    <t>SI0356</t>
  </si>
  <si>
    <t>SI9558</t>
  </si>
  <si>
    <t>SI9271</t>
  </si>
  <si>
    <t>SI0361</t>
  </si>
  <si>
    <t>SI9264</t>
  </si>
  <si>
    <t>SI9379</t>
  </si>
  <si>
    <t>SI9272</t>
  </si>
  <si>
    <t>SI0273</t>
  </si>
  <si>
    <t>SI9214</t>
  </si>
  <si>
    <t>SI0503</t>
  </si>
  <si>
    <t>SI0255</t>
  </si>
  <si>
    <t>SI9266</t>
  </si>
  <si>
    <t>SI9378</t>
  </si>
  <si>
    <t>SI9219</t>
  </si>
  <si>
    <t>Matakuliah ITB STIKOM Bali</t>
  </si>
  <si>
    <t>: ITB STIKOM Bali</t>
  </si>
  <si>
    <t>:Sistem Informasi</t>
  </si>
  <si>
    <t>:ReNIM</t>
  </si>
  <si>
    <t>B</t>
  </si>
  <si>
    <t>A</t>
  </si>
  <si>
    <t>C</t>
  </si>
  <si>
    <t>BC</t>
  </si>
  <si>
    <t>AB</t>
  </si>
  <si>
    <t>: I Made Oka Mahendra</t>
  </si>
  <si>
    <t>: 6 Juli 2021</t>
  </si>
  <si>
    <t>Seni Budaya</t>
  </si>
  <si>
    <t>SI0219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</si>
</sst>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000000"/>
      <name val="Verdana"/>
      <family val="2"/>
    </font>
    <font>
      <b/>
      <sz val="10"/>
      <color rgb="FFFFFFFF"/>
      <name val="Verdana"/>
      <family val="2"/>
    </font>
    <font>
      <sz val="10"/>
      <color rgb="FFFFFFFF"/>
      <name val="Verdana"/>
      <family val="2"/>
    </font>
    <font>
      <b/>
      <i/>
      <sz val="10"/>
      <name val="Verdan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1"/>
      <color rgb="FFFFFFFF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sz val="11"/>
      <color rgb="FFFFFFFF"/>
      <name val="Verdana"/>
      <family val="2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Verdana"/>
      <family val="2"/>
    </font>
    <font>
      <b/>
      <sz val="10"/>
      <name val="Verdana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BBB59"/>
        <bgColor rgb="FF969696"/>
      </patternFill>
    </fill>
    <fill>
      <patternFill patternType="solid">
        <fgColor rgb="FF1F497D"/>
        <bgColor rgb="FF003366"/>
      </patternFill>
    </fill>
    <fill>
      <patternFill patternType="solid">
        <fgColor rgb="FFC6D9F1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0" fontId="19" fillId="4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3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21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/>
    <xf numFmtId="0" fontId="12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 wrapText="1"/>
    </xf>
    <xf numFmtId="0" fontId="3" fillId="6" borderId="0" xfId="0" applyFont="1" applyFill="1"/>
    <xf numFmtId="0" fontId="25" fillId="6" borderId="0" xfId="0" applyFont="1" applyFill="1"/>
    <xf numFmtId="0" fontId="0" fillId="8" borderId="0" xfId="0" applyFill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10" borderId="1" xfId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1" xfId="0" applyFont="1" applyFill="1" applyBorder="1"/>
    <xf numFmtId="0" fontId="29" fillId="10" borderId="1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27" fillId="10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vertical="center"/>
    </xf>
    <xf numFmtId="0" fontId="10" fillId="5" borderId="4" xfId="0" applyFont="1" applyFill="1" applyBorder="1" applyAlignment="1">
      <alignment horizontal="center"/>
    </xf>
    <xf numFmtId="0" fontId="23" fillId="4" borderId="4" xfId="0" applyFont="1" applyFill="1" applyBorder="1" applyAlignme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vertical="center"/>
    </xf>
    <xf numFmtId="0" fontId="27" fillId="10" borderId="5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vertical="center"/>
    </xf>
    <xf numFmtId="0" fontId="23" fillId="4" borderId="5" xfId="0" applyFont="1" applyFill="1" applyBorder="1" applyAlignment="1">
      <alignment vertical="center"/>
    </xf>
    <xf numFmtId="0" fontId="9" fillId="11" borderId="1" xfId="0" applyFont="1" applyFill="1" applyBorder="1"/>
    <xf numFmtId="0" fontId="27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28" fillId="11" borderId="1" xfId="0" applyFont="1" applyFill="1" applyBorder="1"/>
    <xf numFmtId="0" fontId="27" fillId="10" borderId="4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/>
    </xf>
    <xf numFmtId="0" fontId="27" fillId="11" borderId="4" xfId="0" applyFont="1" applyFill="1" applyBorder="1" applyAlignment="1" applyProtection="1">
      <alignment horizontal="center" vertical="center" wrapText="1"/>
      <protection locked="0"/>
    </xf>
    <xf numFmtId="0" fontId="9" fillId="11" borderId="1" xfId="0" applyFont="1" applyFill="1" applyBorder="1" applyProtection="1">
      <protection locked="0"/>
    </xf>
    <xf numFmtId="0" fontId="27" fillId="11" borderId="1" xfId="0" applyFont="1" applyFill="1" applyBorder="1" applyAlignment="1" applyProtection="1">
      <alignment horizontal="center" vertical="center" wrapText="1"/>
      <protection locked="0"/>
    </xf>
    <xf numFmtId="0" fontId="9" fillId="11" borderId="1" xfId="0" applyFont="1" applyFill="1" applyBorder="1" applyAlignment="1" applyProtection="1">
      <alignment horizontal="center"/>
      <protection locked="0"/>
    </xf>
    <xf numFmtId="0" fontId="9" fillId="11" borderId="1" xfId="0" applyFont="1" applyFill="1" applyBorder="1" applyAlignment="1" applyProtection="1">
      <alignment horizontal="left"/>
      <protection locked="0"/>
    </xf>
    <xf numFmtId="0" fontId="27" fillId="11" borderId="1" xfId="0" applyFont="1" applyFill="1" applyBorder="1" applyAlignment="1" applyProtection="1">
      <alignment horizontal="left" vertical="center" wrapText="1"/>
      <protection locked="0"/>
    </xf>
    <xf numFmtId="0" fontId="28" fillId="11" borderId="1" xfId="0" applyFont="1" applyFill="1" applyBorder="1" applyProtection="1">
      <protection locked="0"/>
    </xf>
    <xf numFmtId="0" fontId="28" fillId="11" borderId="1" xfId="0" applyFont="1" applyFill="1" applyBorder="1" applyAlignment="1" applyProtection="1">
      <alignment horizontal="center" vertical="center"/>
      <protection locked="0"/>
    </xf>
    <xf numFmtId="0" fontId="9" fillId="11" borderId="1" xfId="0" applyFont="1" applyFill="1" applyBorder="1" applyAlignment="1" applyProtection="1">
      <alignment horizontal="center" wrapText="1"/>
      <protection locked="0"/>
    </xf>
    <xf numFmtId="0" fontId="27" fillId="12" borderId="1" xfId="0" applyFont="1" applyFill="1" applyBorder="1" applyAlignment="1" applyProtection="1">
      <alignment horizontal="center" vertical="center" wrapText="1"/>
      <protection locked="0"/>
    </xf>
    <xf numFmtId="0" fontId="28" fillId="11" borderId="1" xfId="0" applyFont="1" applyFill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0" fontId="3" fillId="0" borderId="0" xfId="0" applyFont="1" applyAlignment="1"/>
    <xf numFmtId="0" fontId="9" fillId="11" borderId="1" xfId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left"/>
    </xf>
    <xf numFmtId="0" fontId="29" fillId="11" borderId="1" xfId="0" applyFont="1" applyFill="1" applyBorder="1"/>
    <xf numFmtId="0" fontId="1" fillId="11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3"/>
  <sheetViews>
    <sheetView tabSelected="1" showWhiteSpace="0" view="pageLayout" topLeftCell="A118" zoomScale="90" zoomScaleNormal="100" zoomScaleSheetLayoutView="100" zoomScalePageLayoutView="90" workbookViewId="0">
      <selection activeCell="C4" sqref="C4"/>
    </sheetView>
  </sheetViews>
  <sheetFormatPr defaultRowHeight="15" x14ac:dyDescent="0.25"/>
  <cols>
    <col min="2" max="2" width="15.28515625" customWidth="1"/>
    <col min="3" max="3" width="42.7109375" bestFit="1" customWidth="1"/>
    <col min="4" max="4" width="6.42578125" customWidth="1"/>
    <col min="5" max="5" width="9.7109375" style="7" customWidth="1"/>
    <col min="6" max="6" width="7" customWidth="1"/>
    <col min="7" max="7" width="14.28515625" customWidth="1"/>
    <col min="8" max="8" width="51.85546875" style="7" bestFit="1" customWidth="1"/>
    <col min="9" max="9" width="6.7109375" style="13" bestFit="1" customWidth="1"/>
    <col min="10" max="10" width="7.140625" customWidth="1"/>
  </cols>
  <sheetData>
    <row r="1" spans="1:10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25">
      <c r="A2" s="106" t="s">
        <v>138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</row>
    <row r="4" spans="1:10" x14ac:dyDescent="0.25">
      <c r="A4" s="107" t="s">
        <v>1</v>
      </c>
      <c r="B4" s="107"/>
      <c r="C4" s="89" t="s">
        <v>182</v>
      </c>
      <c r="D4" s="122"/>
      <c r="E4" s="122"/>
      <c r="F4" s="122"/>
      <c r="G4" s="49" t="s">
        <v>135</v>
      </c>
      <c r="H4" s="91" t="s">
        <v>175</v>
      </c>
      <c r="I4" s="118"/>
      <c r="J4" s="118"/>
    </row>
    <row r="5" spans="1:10" x14ac:dyDescent="0.25">
      <c r="A5" s="107" t="s">
        <v>3</v>
      </c>
      <c r="B5" s="107"/>
      <c r="C5" s="90" t="s">
        <v>174</v>
      </c>
      <c r="D5" s="122"/>
      <c r="E5" s="122"/>
      <c r="F5" s="122"/>
      <c r="G5" s="49" t="s">
        <v>136</v>
      </c>
      <c r="H5" s="91" t="s">
        <v>176</v>
      </c>
      <c r="I5" s="118"/>
      <c r="J5" s="118"/>
    </row>
    <row r="6" spans="1:10" x14ac:dyDescent="0.25">
      <c r="A6" s="107" t="s">
        <v>4</v>
      </c>
      <c r="B6" s="107"/>
      <c r="C6" s="90" t="s">
        <v>2</v>
      </c>
      <c r="D6" s="122"/>
      <c r="E6" s="122"/>
      <c r="F6" s="122"/>
      <c r="G6" s="49" t="s">
        <v>137</v>
      </c>
      <c r="H6" s="91" t="s">
        <v>183</v>
      </c>
      <c r="I6" s="118"/>
      <c r="J6" s="118"/>
    </row>
    <row r="7" spans="1:10" x14ac:dyDescent="0.25">
      <c r="A7" s="107" t="s">
        <v>139</v>
      </c>
      <c r="B7" s="107"/>
      <c r="C7" s="1" t="str">
        <f>": "&amp;D129&amp;" SKS"</f>
        <v>: 40 SKS</v>
      </c>
      <c r="D7" s="122"/>
      <c r="E7" s="122"/>
      <c r="F7" s="122"/>
      <c r="G7" s="119"/>
      <c r="H7" s="119"/>
      <c r="I7" s="119"/>
      <c r="J7" s="119"/>
    </row>
    <row r="8" spans="1:10" x14ac:dyDescent="0.25">
      <c r="A8" s="121"/>
      <c r="B8" s="121"/>
      <c r="C8" s="121"/>
      <c r="D8" s="123"/>
      <c r="E8" s="123"/>
      <c r="F8" s="123"/>
      <c r="G8" s="120"/>
      <c r="H8" s="120"/>
      <c r="I8" s="120"/>
      <c r="J8" s="120"/>
    </row>
    <row r="9" spans="1:10" x14ac:dyDescent="0.25">
      <c r="A9" s="108" t="s">
        <v>173</v>
      </c>
      <c r="B9" s="108"/>
      <c r="C9" s="108"/>
      <c r="D9" s="108"/>
      <c r="E9" s="108"/>
      <c r="F9" s="109"/>
      <c r="G9" s="110" t="s">
        <v>5</v>
      </c>
      <c r="H9" s="108"/>
      <c r="I9" s="108"/>
      <c r="J9" s="108"/>
    </row>
    <row r="10" spans="1:10" ht="28.5" x14ac:dyDescent="0.25">
      <c r="A10" s="4" t="s">
        <v>6</v>
      </c>
      <c r="B10" s="4" t="s">
        <v>7</v>
      </c>
      <c r="C10" s="5" t="s">
        <v>8</v>
      </c>
      <c r="D10" s="16" t="s">
        <v>9</v>
      </c>
      <c r="E10" s="16" t="s">
        <v>10</v>
      </c>
      <c r="F10" s="64" t="s">
        <v>11</v>
      </c>
      <c r="G10" s="57" t="s">
        <v>7</v>
      </c>
      <c r="H10" s="9" t="s">
        <v>8</v>
      </c>
      <c r="I10" s="9" t="s">
        <v>9</v>
      </c>
      <c r="J10" s="9" t="s">
        <v>11</v>
      </c>
    </row>
    <row r="11" spans="1:10" x14ac:dyDescent="0.25">
      <c r="A11" s="6" t="s">
        <v>12</v>
      </c>
      <c r="B11" s="6"/>
      <c r="C11" s="6"/>
      <c r="D11" s="10"/>
      <c r="E11" s="10"/>
      <c r="F11" s="65"/>
      <c r="G11" s="58"/>
      <c r="H11" s="15"/>
      <c r="I11" s="12"/>
      <c r="J11" s="15"/>
    </row>
    <row r="12" spans="1:10" x14ac:dyDescent="0.25">
      <c r="A12" s="50">
        <v>1</v>
      </c>
      <c r="B12" s="51" t="s">
        <v>13</v>
      </c>
      <c r="C12" s="52" t="s">
        <v>140</v>
      </c>
      <c r="D12" s="51">
        <v>2</v>
      </c>
      <c r="E12" s="53">
        <f>IF(AND($G12&lt;&gt;"",$H12&lt;&gt;"",$I12&lt;&gt;"",$J12&lt;&gt;""),$D12,"")</f>
        <v>2</v>
      </c>
      <c r="F12" s="66" t="str">
        <f>IF(AND($G12&lt;&gt;"",$H12&lt;&gt;"",$I12&lt;&gt;"",$J12&lt;&gt;""),$J12,"")</f>
        <v>AB</v>
      </c>
      <c r="G12" s="78" t="s">
        <v>13</v>
      </c>
      <c r="H12" s="79" t="s">
        <v>140</v>
      </c>
      <c r="I12" s="80">
        <v>2</v>
      </c>
      <c r="J12" s="80" t="s">
        <v>181</v>
      </c>
    </row>
    <row r="13" spans="1:10" x14ac:dyDescent="0.25">
      <c r="A13" s="50">
        <v>2</v>
      </c>
      <c r="B13" s="53" t="s">
        <v>141</v>
      </c>
      <c r="C13" s="52" t="s">
        <v>14</v>
      </c>
      <c r="D13" s="51">
        <v>2</v>
      </c>
      <c r="E13" s="53">
        <f t="shared" ref="E13:E20" si="0">IF(AND($G13&lt;&gt;"",$H13&lt;&gt;"",$I13&lt;&gt;"",$J13&lt;&gt;""),$D13,"")</f>
        <v>2</v>
      </c>
      <c r="F13" s="66" t="str">
        <f t="shared" ref="F13:F20" si="1">IF(AND($G13&lt;&gt;"",$H13&lt;&gt;"",$I13&lt;&gt;"",$J13&lt;&gt;""),$J13,"")</f>
        <v>A</v>
      </c>
      <c r="G13" s="78" t="s">
        <v>141</v>
      </c>
      <c r="H13" s="79" t="s">
        <v>184</v>
      </c>
      <c r="I13" s="81">
        <v>2</v>
      </c>
      <c r="J13" s="80" t="s">
        <v>178</v>
      </c>
    </row>
    <row r="14" spans="1:10" x14ac:dyDescent="0.25">
      <c r="A14" s="50">
        <v>3</v>
      </c>
      <c r="B14" s="51" t="s">
        <v>15</v>
      </c>
      <c r="C14" s="52" t="s">
        <v>16</v>
      </c>
      <c r="D14" s="51">
        <v>4</v>
      </c>
      <c r="E14" s="53">
        <f t="shared" si="0"/>
        <v>4</v>
      </c>
      <c r="F14" s="66" t="str">
        <f t="shared" si="1"/>
        <v>AB</v>
      </c>
      <c r="G14" s="78" t="s">
        <v>15</v>
      </c>
      <c r="H14" s="79" t="s">
        <v>16</v>
      </c>
      <c r="I14" s="80">
        <v>4</v>
      </c>
      <c r="J14" s="80" t="s">
        <v>181</v>
      </c>
    </row>
    <row r="15" spans="1:10" x14ac:dyDescent="0.25">
      <c r="A15" s="50">
        <v>4</v>
      </c>
      <c r="B15" s="51" t="s">
        <v>17</v>
      </c>
      <c r="C15" s="55" t="s">
        <v>18</v>
      </c>
      <c r="D15" s="51">
        <v>2</v>
      </c>
      <c r="E15" s="53">
        <f t="shared" si="0"/>
        <v>2</v>
      </c>
      <c r="F15" s="66" t="str">
        <f t="shared" si="1"/>
        <v>AB</v>
      </c>
      <c r="G15" s="78" t="s">
        <v>17</v>
      </c>
      <c r="H15" s="79" t="s">
        <v>18</v>
      </c>
      <c r="I15" s="80">
        <v>2</v>
      </c>
      <c r="J15" s="80" t="s">
        <v>181</v>
      </c>
    </row>
    <row r="16" spans="1:10" x14ac:dyDescent="0.25">
      <c r="A16" s="50">
        <v>5</v>
      </c>
      <c r="B16" s="51" t="s">
        <v>37</v>
      </c>
      <c r="C16" s="55" t="s">
        <v>19</v>
      </c>
      <c r="D16" s="51">
        <v>1</v>
      </c>
      <c r="E16" s="53">
        <f t="shared" si="0"/>
        <v>1</v>
      </c>
      <c r="F16" s="66" t="str">
        <f t="shared" si="1"/>
        <v>AB</v>
      </c>
      <c r="G16" s="78" t="s">
        <v>37</v>
      </c>
      <c r="H16" s="79" t="s">
        <v>19</v>
      </c>
      <c r="I16" s="80">
        <v>1</v>
      </c>
      <c r="J16" s="80" t="s">
        <v>181</v>
      </c>
    </row>
    <row r="17" spans="1:10" x14ac:dyDescent="0.25">
      <c r="A17" s="50">
        <v>6</v>
      </c>
      <c r="B17" s="51" t="s">
        <v>20</v>
      </c>
      <c r="C17" s="52" t="s">
        <v>21</v>
      </c>
      <c r="D17" s="51">
        <v>2</v>
      </c>
      <c r="E17" s="53">
        <f t="shared" si="0"/>
        <v>2</v>
      </c>
      <c r="F17" s="66" t="str">
        <f t="shared" si="1"/>
        <v>AB</v>
      </c>
      <c r="G17" s="78" t="s">
        <v>20</v>
      </c>
      <c r="H17" s="79" t="s">
        <v>21</v>
      </c>
      <c r="I17" s="80">
        <v>2</v>
      </c>
      <c r="J17" s="80" t="s">
        <v>181</v>
      </c>
    </row>
    <row r="18" spans="1:10" x14ac:dyDescent="0.25">
      <c r="A18" s="50">
        <v>7</v>
      </c>
      <c r="B18" s="51" t="s">
        <v>22</v>
      </c>
      <c r="C18" s="52" t="s">
        <v>23</v>
      </c>
      <c r="D18" s="51">
        <v>1</v>
      </c>
      <c r="E18" s="53">
        <f t="shared" si="0"/>
        <v>1</v>
      </c>
      <c r="F18" s="66" t="str">
        <f t="shared" si="1"/>
        <v>B</v>
      </c>
      <c r="G18" s="78" t="s">
        <v>22</v>
      </c>
      <c r="H18" s="79" t="s">
        <v>23</v>
      </c>
      <c r="I18" s="80">
        <v>1</v>
      </c>
      <c r="J18" s="80" t="s">
        <v>177</v>
      </c>
    </row>
    <row r="19" spans="1:10" x14ac:dyDescent="0.25">
      <c r="A19" s="50">
        <v>8</v>
      </c>
      <c r="B19" s="51" t="s">
        <v>24</v>
      </c>
      <c r="C19" s="52" t="s">
        <v>25</v>
      </c>
      <c r="D19" s="51">
        <v>2</v>
      </c>
      <c r="E19" s="53">
        <f t="shared" si="0"/>
        <v>2</v>
      </c>
      <c r="F19" s="66" t="str">
        <f t="shared" si="1"/>
        <v>A</v>
      </c>
      <c r="G19" s="78" t="s">
        <v>24</v>
      </c>
      <c r="H19" s="79" t="s">
        <v>25</v>
      </c>
      <c r="I19" s="80">
        <v>2</v>
      </c>
      <c r="J19" s="80" t="s">
        <v>178</v>
      </c>
    </row>
    <row r="20" spans="1:10" x14ac:dyDescent="0.25">
      <c r="A20" s="50">
        <v>9</v>
      </c>
      <c r="B20" s="51" t="s">
        <v>142</v>
      </c>
      <c r="C20" s="52" t="s">
        <v>26</v>
      </c>
      <c r="D20" s="51">
        <v>2</v>
      </c>
      <c r="E20" s="53" t="str">
        <f t="shared" si="0"/>
        <v/>
      </c>
      <c r="F20" s="66" t="str">
        <f t="shared" si="1"/>
        <v/>
      </c>
      <c r="G20" s="78"/>
      <c r="H20" s="79"/>
      <c r="I20" s="80"/>
      <c r="J20" s="80"/>
    </row>
    <row r="21" spans="1:10" x14ac:dyDescent="0.25">
      <c r="A21" s="111" t="s">
        <v>27</v>
      </c>
      <c r="B21" s="112"/>
      <c r="C21" s="113"/>
      <c r="D21" s="28">
        <f>SUM(D12:D20)</f>
        <v>18</v>
      </c>
      <c r="E21" s="28">
        <f>SUM(E12:E20)</f>
        <v>16</v>
      </c>
      <c r="F21" s="67" t="str">
        <f t="shared" ref="F21:F32" si="2">IF(I21&lt;&gt;"",J21,"")</f>
        <v/>
      </c>
      <c r="G21" s="60"/>
      <c r="H21" s="29"/>
      <c r="I21" s="30"/>
      <c r="J21" s="30"/>
    </row>
    <row r="22" spans="1:10" x14ac:dyDescent="0.25">
      <c r="A22" s="6" t="s">
        <v>28</v>
      </c>
      <c r="B22" s="6"/>
      <c r="C22" s="6"/>
      <c r="D22" s="17"/>
      <c r="E22" s="21"/>
      <c r="F22" s="68"/>
      <c r="G22" s="61"/>
      <c r="H22" s="15"/>
      <c r="I22" s="20"/>
      <c r="J22" s="20"/>
    </row>
    <row r="23" spans="1:10" x14ac:dyDescent="0.25">
      <c r="A23" s="50">
        <v>1</v>
      </c>
      <c r="B23" s="51" t="s">
        <v>143</v>
      </c>
      <c r="C23" s="55" t="s">
        <v>30</v>
      </c>
      <c r="D23" s="51">
        <v>4</v>
      </c>
      <c r="E23" s="53">
        <f t="shared" ref="E23:E31" si="3">IF(AND($G23&lt;&gt;"",$H23&lt;&gt;"",$I23&lt;&gt;"",$J23&lt;&gt;""),$D23,"")</f>
        <v>4</v>
      </c>
      <c r="F23" s="66" t="str">
        <f t="shared" ref="F23:F31" si="4">IF(AND($G23&lt;&gt;"",$H23&lt;&gt;"",$I23&lt;&gt;"",$J23&lt;&gt;""),$J23,"")</f>
        <v>C</v>
      </c>
      <c r="G23" s="78" t="s">
        <v>143</v>
      </c>
      <c r="H23" s="79" t="s">
        <v>30</v>
      </c>
      <c r="I23" s="80">
        <v>4</v>
      </c>
      <c r="J23" s="80" t="s">
        <v>179</v>
      </c>
    </row>
    <row r="24" spans="1:10" x14ac:dyDescent="0.25">
      <c r="A24" s="50">
        <v>2</v>
      </c>
      <c r="B24" s="51" t="s">
        <v>29</v>
      </c>
      <c r="C24" s="55" t="s">
        <v>32</v>
      </c>
      <c r="D24" s="51">
        <v>2</v>
      </c>
      <c r="E24" s="53">
        <f t="shared" si="3"/>
        <v>2</v>
      </c>
      <c r="F24" s="66" t="str">
        <f t="shared" si="4"/>
        <v>B</v>
      </c>
      <c r="G24" s="78" t="s">
        <v>29</v>
      </c>
      <c r="H24" s="79" t="s">
        <v>32</v>
      </c>
      <c r="I24" s="80">
        <v>2</v>
      </c>
      <c r="J24" s="80" t="s">
        <v>177</v>
      </c>
    </row>
    <row r="25" spans="1:10" x14ac:dyDescent="0.25">
      <c r="A25" s="50">
        <v>3</v>
      </c>
      <c r="B25" s="51" t="s">
        <v>144</v>
      </c>
      <c r="C25" s="55" t="s">
        <v>34</v>
      </c>
      <c r="D25" s="51">
        <v>1</v>
      </c>
      <c r="E25" s="53" t="str">
        <f t="shared" si="3"/>
        <v/>
      </c>
      <c r="F25" s="66" t="str">
        <f t="shared" si="4"/>
        <v/>
      </c>
      <c r="G25" s="78"/>
      <c r="H25" s="79"/>
      <c r="I25" s="80"/>
      <c r="J25" s="80"/>
    </row>
    <row r="26" spans="1:10" x14ac:dyDescent="0.25">
      <c r="A26" s="50">
        <v>4</v>
      </c>
      <c r="B26" s="51" t="s">
        <v>31</v>
      </c>
      <c r="C26" s="55" t="s">
        <v>36</v>
      </c>
      <c r="D26" s="51">
        <v>2</v>
      </c>
      <c r="E26" s="53">
        <f t="shared" si="3"/>
        <v>2</v>
      </c>
      <c r="F26" s="66" t="str">
        <f t="shared" si="4"/>
        <v>A</v>
      </c>
      <c r="G26" s="78" t="s">
        <v>31</v>
      </c>
      <c r="H26" s="79" t="s">
        <v>36</v>
      </c>
      <c r="I26" s="80">
        <v>2</v>
      </c>
      <c r="J26" s="80" t="s">
        <v>178</v>
      </c>
    </row>
    <row r="27" spans="1:10" x14ac:dyDescent="0.25">
      <c r="A27" s="50">
        <v>5</v>
      </c>
      <c r="B27" s="51" t="s">
        <v>33</v>
      </c>
      <c r="C27" s="55" t="s">
        <v>38</v>
      </c>
      <c r="D27" s="51">
        <v>1</v>
      </c>
      <c r="E27" s="53">
        <f t="shared" si="3"/>
        <v>1</v>
      </c>
      <c r="F27" s="66" t="str">
        <f t="shared" si="4"/>
        <v>C</v>
      </c>
      <c r="G27" s="78" t="s">
        <v>33</v>
      </c>
      <c r="H27" s="79" t="s">
        <v>38</v>
      </c>
      <c r="I27" s="80">
        <v>1</v>
      </c>
      <c r="J27" s="80" t="s">
        <v>179</v>
      </c>
    </row>
    <row r="28" spans="1:10" x14ac:dyDescent="0.25">
      <c r="A28" s="50">
        <v>6</v>
      </c>
      <c r="B28" s="51" t="s">
        <v>145</v>
      </c>
      <c r="C28" s="55" t="s">
        <v>39</v>
      </c>
      <c r="D28" s="51">
        <v>2</v>
      </c>
      <c r="E28" s="53">
        <f t="shared" si="3"/>
        <v>2</v>
      </c>
      <c r="F28" s="66" t="str">
        <f t="shared" si="4"/>
        <v>C</v>
      </c>
      <c r="G28" s="78" t="s">
        <v>145</v>
      </c>
      <c r="H28" s="79" t="s">
        <v>39</v>
      </c>
      <c r="I28" s="80">
        <v>2</v>
      </c>
      <c r="J28" s="80" t="s">
        <v>179</v>
      </c>
    </row>
    <row r="29" spans="1:10" x14ac:dyDescent="0.25">
      <c r="A29" s="50">
        <v>7</v>
      </c>
      <c r="B29" s="51" t="s">
        <v>40</v>
      </c>
      <c r="C29" s="55" t="s">
        <v>41</v>
      </c>
      <c r="D29" s="51">
        <v>2</v>
      </c>
      <c r="E29" s="53" t="str">
        <f t="shared" si="3"/>
        <v/>
      </c>
      <c r="F29" s="66" t="str">
        <f t="shared" si="4"/>
        <v/>
      </c>
      <c r="G29" s="78"/>
      <c r="H29" s="79"/>
      <c r="I29" s="80"/>
      <c r="J29" s="80"/>
    </row>
    <row r="30" spans="1:10" x14ac:dyDescent="0.25">
      <c r="A30" s="50">
        <v>8</v>
      </c>
      <c r="B30" s="51" t="s">
        <v>42</v>
      </c>
      <c r="C30" s="55" t="s">
        <v>43</v>
      </c>
      <c r="D30" s="51">
        <v>2</v>
      </c>
      <c r="E30" s="53" t="str">
        <f t="shared" si="3"/>
        <v/>
      </c>
      <c r="F30" s="66" t="str">
        <f t="shared" si="4"/>
        <v/>
      </c>
      <c r="G30" s="78"/>
      <c r="H30" s="79"/>
      <c r="I30" s="80"/>
      <c r="J30" s="80"/>
    </row>
    <row r="31" spans="1:10" x14ac:dyDescent="0.25">
      <c r="A31" s="50">
        <v>9</v>
      </c>
      <c r="B31" s="51" t="s">
        <v>44</v>
      </c>
      <c r="C31" s="55" t="s">
        <v>45</v>
      </c>
      <c r="D31" s="51">
        <v>2</v>
      </c>
      <c r="E31" s="53" t="str">
        <f t="shared" si="3"/>
        <v/>
      </c>
      <c r="F31" s="66" t="str">
        <f t="shared" si="4"/>
        <v/>
      </c>
      <c r="G31" s="78"/>
      <c r="H31" s="79"/>
      <c r="I31" s="80"/>
      <c r="J31" s="80"/>
    </row>
    <row r="32" spans="1:10" x14ac:dyDescent="0.25">
      <c r="A32" s="114" t="s">
        <v>27</v>
      </c>
      <c r="B32" s="115"/>
      <c r="C32" s="116"/>
      <c r="D32" s="23">
        <f>SUM(D23:D31)</f>
        <v>18</v>
      </c>
      <c r="E32" s="23">
        <f>SUM(E23:E31)</f>
        <v>11</v>
      </c>
      <c r="F32" s="67" t="str">
        <f t="shared" si="2"/>
        <v/>
      </c>
      <c r="G32" s="60"/>
      <c r="H32" s="31"/>
      <c r="I32" s="32"/>
      <c r="J32" s="32"/>
    </row>
    <row r="33" spans="1:10" x14ac:dyDescent="0.25">
      <c r="A33" s="6" t="s">
        <v>46</v>
      </c>
      <c r="B33" s="6"/>
      <c r="C33" s="6"/>
      <c r="D33" s="17"/>
      <c r="E33" s="21"/>
      <c r="F33" s="68"/>
      <c r="G33" s="61"/>
      <c r="H33" s="15"/>
      <c r="I33" s="20"/>
      <c r="J33" s="20"/>
    </row>
    <row r="34" spans="1:10" x14ac:dyDescent="0.25">
      <c r="A34" s="50">
        <v>1</v>
      </c>
      <c r="B34" s="51" t="s">
        <v>35</v>
      </c>
      <c r="C34" s="52" t="s">
        <v>48</v>
      </c>
      <c r="D34" s="51">
        <v>2</v>
      </c>
      <c r="E34" s="53">
        <f t="shared" ref="E34:E40" si="5">IF(AND($G34&lt;&gt;"",$H34&lt;&gt;"",$I34&lt;&gt;"",$J34&lt;&gt;""),$D34,"")</f>
        <v>2</v>
      </c>
      <c r="F34" s="66" t="str">
        <f t="shared" ref="F34:F40" si="6">IF(AND($G34&lt;&gt;"",$H34&lt;&gt;"",$I34&lt;&gt;"",$J34&lt;&gt;""),$J34,"")</f>
        <v>BC</v>
      </c>
      <c r="G34" s="78" t="s">
        <v>35</v>
      </c>
      <c r="H34" s="79" t="s">
        <v>48</v>
      </c>
      <c r="I34" s="80">
        <v>2</v>
      </c>
      <c r="J34" s="80" t="s">
        <v>180</v>
      </c>
    </row>
    <row r="35" spans="1:10" x14ac:dyDescent="0.25">
      <c r="A35" s="50">
        <v>2</v>
      </c>
      <c r="B35" s="51" t="s">
        <v>49</v>
      </c>
      <c r="C35" s="52" t="s">
        <v>50</v>
      </c>
      <c r="D35" s="51">
        <v>1</v>
      </c>
      <c r="E35" s="53">
        <f t="shared" si="5"/>
        <v>1</v>
      </c>
      <c r="F35" s="66" t="str">
        <f t="shared" si="6"/>
        <v>AB</v>
      </c>
      <c r="G35" s="78" t="s">
        <v>49</v>
      </c>
      <c r="H35" s="79" t="s">
        <v>50</v>
      </c>
      <c r="I35" s="80">
        <v>1</v>
      </c>
      <c r="J35" s="80" t="s">
        <v>181</v>
      </c>
    </row>
    <row r="36" spans="1:10" x14ac:dyDescent="0.25">
      <c r="A36" s="50">
        <v>3</v>
      </c>
      <c r="B36" s="51" t="s">
        <v>51</v>
      </c>
      <c r="C36" s="52" t="s">
        <v>52</v>
      </c>
      <c r="D36" s="51">
        <v>4</v>
      </c>
      <c r="E36" s="53">
        <f t="shared" si="5"/>
        <v>4</v>
      </c>
      <c r="F36" s="66" t="str">
        <f t="shared" si="6"/>
        <v>BC</v>
      </c>
      <c r="G36" s="78" t="s">
        <v>51</v>
      </c>
      <c r="H36" s="79" t="s">
        <v>52</v>
      </c>
      <c r="I36" s="80">
        <v>4</v>
      </c>
      <c r="J36" s="80" t="s">
        <v>180</v>
      </c>
    </row>
    <row r="37" spans="1:10" x14ac:dyDescent="0.25">
      <c r="A37" s="50">
        <v>4</v>
      </c>
      <c r="B37" s="51" t="s">
        <v>146</v>
      </c>
      <c r="C37" s="52" t="s">
        <v>53</v>
      </c>
      <c r="D37" s="51">
        <v>4</v>
      </c>
      <c r="E37" s="53" t="str">
        <f t="shared" si="5"/>
        <v/>
      </c>
      <c r="F37" s="66" t="str">
        <f t="shared" si="6"/>
        <v/>
      </c>
      <c r="G37" s="78"/>
      <c r="H37" s="79"/>
      <c r="I37" s="80"/>
      <c r="J37" s="80"/>
    </row>
    <row r="38" spans="1:10" x14ac:dyDescent="0.25">
      <c r="A38" s="50">
        <v>5</v>
      </c>
      <c r="B38" s="51" t="s">
        <v>54</v>
      </c>
      <c r="C38" s="52" t="s">
        <v>55</v>
      </c>
      <c r="D38" s="51">
        <v>4</v>
      </c>
      <c r="E38" s="53" t="str">
        <f t="shared" si="5"/>
        <v/>
      </c>
      <c r="F38" s="66" t="str">
        <f t="shared" si="6"/>
        <v/>
      </c>
      <c r="G38" s="78"/>
      <c r="H38" s="79"/>
      <c r="I38" s="80"/>
      <c r="J38" s="80"/>
    </row>
    <row r="39" spans="1:10" x14ac:dyDescent="0.25">
      <c r="A39" s="50">
        <v>6</v>
      </c>
      <c r="B39" s="51" t="s">
        <v>75</v>
      </c>
      <c r="C39" s="52" t="s">
        <v>56</v>
      </c>
      <c r="D39" s="51">
        <v>2</v>
      </c>
      <c r="E39" s="53" t="str">
        <f t="shared" si="5"/>
        <v/>
      </c>
      <c r="F39" s="66" t="str">
        <f t="shared" si="6"/>
        <v/>
      </c>
      <c r="G39" s="78"/>
      <c r="H39" s="79"/>
      <c r="I39" s="80"/>
      <c r="J39" s="80"/>
    </row>
    <row r="40" spans="1:10" x14ac:dyDescent="0.25">
      <c r="A40" s="50">
        <v>7</v>
      </c>
      <c r="B40" s="51" t="s">
        <v>147</v>
      </c>
      <c r="C40" s="52" t="s">
        <v>57</v>
      </c>
      <c r="D40" s="51">
        <v>2</v>
      </c>
      <c r="E40" s="53" t="str">
        <f t="shared" si="5"/>
        <v/>
      </c>
      <c r="F40" s="66" t="str">
        <f t="shared" si="6"/>
        <v/>
      </c>
      <c r="G40" s="78"/>
      <c r="H40" s="79"/>
      <c r="I40" s="80"/>
      <c r="J40" s="80"/>
    </row>
    <row r="41" spans="1:10" x14ac:dyDescent="0.25">
      <c r="A41" s="114" t="s">
        <v>27</v>
      </c>
      <c r="B41" s="115"/>
      <c r="C41" s="116"/>
      <c r="D41" s="23">
        <f>SUM(D34:D40)</f>
        <v>19</v>
      </c>
      <c r="E41" s="23">
        <f>SUM(E34:E40)</f>
        <v>7</v>
      </c>
      <c r="F41" s="67"/>
      <c r="G41" s="60"/>
      <c r="H41" s="33"/>
      <c r="I41" s="24"/>
      <c r="J41" s="25"/>
    </row>
    <row r="42" spans="1:10" x14ac:dyDescent="0.25">
      <c r="A42" s="6" t="s">
        <v>58</v>
      </c>
      <c r="B42" s="6"/>
      <c r="C42" s="6"/>
      <c r="D42" s="17"/>
      <c r="E42" s="18"/>
      <c r="F42" s="69"/>
      <c r="G42" s="61"/>
      <c r="H42" s="15"/>
      <c r="I42" s="20"/>
      <c r="J42" s="20"/>
    </row>
    <row r="43" spans="1:10" x14ac:dyDescent="0.25">
      <c r="A43" s="50">
        <v>1</v>
      </c>
      <c r="B43" s="51" t="s">
        <v>148</v>
      </c>
      <c r="C43" s="52" t="s">
        <v>60</v>
      </c>
      <c r="D43" s="51">
        <v>2</v>
      </c>
      <c r="E43" s="53" t="str">
        <f t="shared" ref="E43:E49" si="7">IF(AND($G43&lt;&gt;"",$H43&lt;&gt;"",$I43&lt;&gt;"",$J43&lt;&gt;""),$D43,"")</f>
        <v/>
      </c>
      <c r="F43" s="66" t="str">
        <f t="shared" ref="F43:F49" si="8">IF(AND($G43&lt;&gt;"",$H43&lt;&gt;"",$I43&lt;&gt;"",$J43&lt;&gt;""),$J43,"")</f>
        <v/>
      </c>
      <c r="G43" s="78"/>
      <c r="H43" s="79"/>
      <c r="I43" s="80"/>
      <c r="J43" s="80"/>
    </row>
    <row r="44" spans="1:10" x14ac:dyDescent="0.25">
      <c r="A44" s="50">
        <v>2</v>
      </c>
      <c r="B44" s="51" t="s">
        <v>61</v>
      </c>
      <c r="C44" s="55" t="s">
        <v>62</v>
      </c>
      <c r="D44" s="51">
        <v>2</v>
      </c>
      <c r="E44" s="53" t="str">
        <f t="shared" si="7"/>
        <v/>
      </c>
      <c r="F44" s="66" t="str">
        <f t="shared" si="8"/>
        <v/>
      </c>
      <c r="G44" s="78"/>
      <c r="H44" s="79"/>
      <c r="I44" s="80"/>
      <c r="J44" s="80"/>
    </row>
    <row r="45" spans="1:10" x14ac:dyDescent="0.25">
      <c r="A45" s="50">
        <v>3</v>
      </c>
      <c r="B45" s="51" t="s">
        <v>149</v>
      </c>
      <c r="C45" s="55" t="s">
        <v>64</v>
      </c>
      <c r="D45" s="51">
        <v>2</v>
      </c>
      <c r="E45" s="53" t="str">
        <f t="shared" si="7"/>
        <v/>
      </c>
      <c r="F45" s="66" t="str">
        <f t="shared" si="8"/>
        <v/>
      </c>
      <c r="G45" s="78"/>
      <c r="H45" s="79"/>
      <c r="I45" s="80"/>
      <c r="J45" s="80"/>
    </row>
    <row r="46" spans="1:10" x14ac:dyDescent="0.25">
      <c r="A46" s="50">
        <v>4</v>
      </c>
      <c r="B46" s="51" t="s">
        <v>65</v>
      </c>
      <c r="C46" s="52" t="s">
        <v>66</v>
      </c>
      <c r="D46" s="51">
        <v>2</v>
      </c>
      <c r="E46" s="53" t="str">
        <f t="shared" si="7"/>
        <v/>
      </c>
      <c r="F46" s="66" t="str">
        <f t="shared" si="8"/>
        <v/>
      </c>
      <c r="G46" s="78"/>
      <c r="H46" s="79"/>
      <c r="I46" s="80"/>
      <c r="J46" s="80"/>
    </row>
    <row r="47" spans="1:10" x14ac:dyDescent="0.25">
      <c r="A47" s="50">
        <v>5</v>
      </c>
      <c r="B47" s="51" t="s">
        <v>67</v>
      </c>
      <c r="C47" s="52" t="s">
        <v>68</v>
      </c>
      <c r="D47" s="51">
        <v>4</v>
      </c>
      <c r="E47" s="53" t="str">
        <f t="shared" si="7"/>
        <v/>
      </c>
      <c r="F47" s="66" t="str">
        <f t="shared" si="8"/>
        <v/>
      </c>
      <c r="G47" s="78"/>
      <c r="H47" s="79"/>
      <c r="I47" s="80"/>
      <c r="J47" s="80"/>
    </row>
    <row r="48" spans="1:10" x14ac:dyDescent="0.25">
      <c r="A48" s="50">
        <v>6</v>
      </c>
      <c r="B48" s="51" t="s">
        <v>47</v>
      </c>
      <c r="C48" s="52" t="s">
        <v>69</v>
      </c>
      <c r="D48" s="51">
        <v>4</v>
      </c>
      <c r="E48" s="53" t="str">
        <f t="shared" si="7"/>
        <v/>
      </c>
      <c r="F48" s="66" t="str">
        <f t="shared" si="8"/>
        <v/>
      </c>
      <c r="G48" s="78"/>
      <c r="H48" s="79"/>
      <c r="I48" s="80"/>
      <c r="J48" s="80"/>
    </row>
    <row r="49" spans="1:10" x14ac:dyDescent="0.25">
      <c r="A49" s="50">
        <v>7</v>
      </c>
      <c r="B49" s="51" t="s">
        <v>63</v>
      </c>
      <c r="C49" s="55" t="s">
        <v>70</v>
      </c>
      <c r="D49" s="51">
        <v>4</v>
      </c>
      <c r="E49" s="53" t="str">
        <f t="shared" si="7"/>
        <v/>
      </c>
      <c r="F49" s="66" t="str">
        <f t="shared" si="8"/>
        <v/>
      </c>
      <c r="G49" s="78"/>
      <c r="H49" s="79"/>
      <c r="I49" s="80"/>
      <c r="J49" s="80"/>
    </row>
    <row r="50" spans="1:10" x14ac:dyDescent="0.25">
      <c r="A50" s="114" t="s">
        <v>27</v>
      </c>
      <c r="B50" s="115"/>
      <c r="C50" s="116"/>
      <c r="D50" s="34">
        <f>SUM(D43:D49)</f>
        <v>20</v>
      </c>
      <c r="E50" s="34">
        <f>SUM(E43:E49)</f>
        <v>0</v>
      </c>
      <c r="F50" s="67"/>
      <c r="G50" s="62"/>
      <c r="H50" s="35"/>
      <c r="I50" s="25"/>
      <c r="J50" s="25"/>
    </row>
    <row r="51" spans="1:10" x14ac:dyDescent="0.25">
      <c r="A51" s="6" t="s">
        <v>71</v>
      </c>
      <c r="B51" s="6"/>
      <c r="C51" s="6"/>
      <c r="D51" s="17"/>
      <c r="E51" s="18"/>
      <c r="F51" s="69"/>
      <c r="G51" s="61"/>
      <c r="H51" s="15"/>
      <c r="I51" s="20"/>
      <c r="J51" s="20"/>
    </row>
    <row r="52" spans="1:10" x14ac:dyDescent="0.25">
      <c r="A52" s="50">
        <v>1</v>
      </c>
      <c r="B52" s="51" t="s">
        <v>150</v>
      </c>
      <c r="C52" s="55" t="s">
        <v>72</v>
      </c>
      <c r="D52" s="51">
        <v>2</v>
      </c>
      <c r="E52" s="53" t="str">
        <f t="shared" ref="E52:E58" si="9">IF(AND($G52&lt;&gt;"",$H52&lt;&gt;"",$I52&lt;&gt;"",$J52&lt;&gt;""),$D52,"")</f>
        <v/>
      </c>
      <c r="F52" s="66" t="str">
        <f t="shared" ref="F52:F58" si="10">IF(AND($G52&lt;&gt;"",$H52&lt;&gt;"",$I52&lt;&gt;"",$J52&lt;&gt;""),$J52,"")</f>
        <v/>
      </c>
      <c r="G52" s="78"/>
      <c r="H52" s="79"/>
      <c r="I52" s="80"/>
      <c r="J52" s="80"/>
    </row>
    <row r="53" spans="1:10" x14ac:dyDescent="0.25">
      <c r="A53" s="50">
        <v>2</v>
      </c>
      <c r="B53" s="51" t="s">
        <v>86</v>
      </c>
      <c r="C53" s="56" t="s">
        <v>74</v>
      </c>
      <c r="D53" s="51">
        <v>4</v>
      </c>
      <c r="E53" s="53" t="str">
        <f t="shared" si="9"/>
        <v/>
      </c>
      <c r="F53" s="66" t="str">
        <f t="shared" si="10"/>
        <v/>
      </c>
      <c r="G53" s="78"/>
      <c r="H53" s="79"/>
      <c r="I53" s="80"/>
      <c r="J53" s="80"/>
    </row>
    <row r="54" spans="1:10" x14ac:dyDescent="0.25">
      <c r="A54" s="50">
        <v>3</v>
      </c>
      <c r="B54" s="51" t="s">
        <v>151</v>
      </c>
      <c r="C54" s="52" t="s">
        <v>76</v>
      </c>
      <c r="D54" s="51">
        <v>4</v>
      </c>
      <c r="E54" s="53" t="str">
        <f t="shared" si="9"/>
        <v/>
      </c>
      <c r="F54" s="66" t="str">
        <f t="shared" si="10"/>
        <v/>
      </c>
      <c r="G54" s="78"/>
      <c r="H54" s="79"/>
      <c r="I54" s="80"/>
      <c r="J54" s="80"/>
    </row>
    <row r="55" spans="1:10" x14ac:dyDescent="0.25">
      <c r="A55" s="50">
        <v>4</v>
      </c>
      <c r="B55" s="51" t="s">
        <v>152</v>
      </c>
      <c r="C55" s="56" t="s">
        <v>77</v>
      </c>
      <c r="D55" s="51">
        <v>4</v>
      </c>
      <c r="E55" s="53" t="str">
        <f t="shared" si="9"/>
        <v/>
      </c>
      <c r="F55" s="66" t="str">
        <f t="shared" si="10"/>
        <v/>
      </c>
      <c r="G55" s="78"/>
      <c r="H55" s="79"/>
      <c r="I55" s="80"/>
      <c r="J55" s="80"/>
    </row>
    <row r="56" spans="1:10" x14ac:dyDescent="0.25">
      <c r="A56" s="50">
        <v>5</v>
      </c>
      <c r="B56" s="51" t="s">
        <v>59</v>
      </c>
      <c r="C56" s="55" t="s">
        <v>78</v>
      </c>
      <c r="D56" s="51">
        <v>2</v>
      </c>
      <c r="E56" s="53" t="str">
        <f t="shared" si="9"/>
        <v/>
      </c>
      <c r="F56" s="66" t="str">
        <f t="shared" si="10"/>
        <v/>
      </c>
      <c r="G56" s="78"/>
      <c r="H56" s="79"/>
      <c r="I56" s="80"/>
      <c r="J56" s="80"/>
    </row>
    <row r="57" spans="1:10" x14ac:dyDescent="0.25">
      <c r="A57" s="50">
        <v>6</v>
      </c>
      <c r="B57" s="51" t="s">
        <v>153</v>
      </c>
      <c r="C57" s="56" t="s">
        <v>79</v>
      </c>
      <c r="D57" s="51">
        <v>2</v>
      </c>
      <c r="E57" s="53" t="str">
        <f t="shared" si="9"/>
        <v/>
      </c>
      <c r="F57" s="66" t="str">
        <f t="shared" si="10"/>
        <v/>
      </c>
      <c r="G57" s="78"/>
      <c r="H57" s="79"/>
      <c r="I57" s="80"/>
      <c r="J57" s="80"/>
    </row>
    <row r="58" spans="1:10" x14ac:dyDescent="0.25">
      <c r="A58" s="50">
        <v>7</v>
      </c>
      <c r="B58" s="51" t="s">
        <v>154</v>
      </c>
      <c r="C58" s="55" t="s">
        <v>80</v>
      </c>
      <c r="D58" s="51">
        <v>2</v>
      </c>
      <c r="E58" s="53" t="str">
        <f t="shared" si="9"/>
        <v/>
      </c>
      <c r="F58" s="66" t="str">
        <f t="shared" si="10"/>
        <v/>
      </c>
      <c r="G58" s="78"/>
      <c r="H58" s="79"/>
      <c r="I58" s="80"/>
      <c r="J58" s="80"/>
    </row>
    <row r="59" spans="1:10" x14ac:dyDescent="0.25">
      <c r="A59" s="114" t="s">
        <v>27</v>
      </c>
      <c r="B59" s="115"/>
      <c r="C59" s="116"/>
      <c r="D59" s="23">
        <f>SUM(D52:D58)</f>
        <v>20</v>
      </c>
      <c r="E59" s="23">
        <f>SUM(E52:E58)</f>
        <v>0</v>
      </c>
      <c r="F59" s="67"/>
      <c r="G59" s="60"/>
      <c r="H59" s="35"/>
      <c r="I59" s="25"/>
      <c r="J59" s="25"/>
    </row>
    <row r="60" spans="1:10" x14ac:dyDescent="0.25">
      <c r="A60" s="6" t="s">
        <v>81</v>
      </c>
      <c r="B60" s="6"/>
      <c r="C60" s="6"/>
      <c r="D60" s="17"/>
      <c r="E60" s="18"/>
      <c r="F60" s="69"/>
      <c r="G60" s="61"/>
      <c r="H60" s="15"/>
      <c r="I60" s="20"/>
      <c r="J60" s="20"/>
    </row>
    <row r="61" spans="1:10" x14ac:dyDescent="0.25">
      <c r="A61" s="50">
        <v>1</v>
      </c>
      <c r="B61" s="51" t="s">
        <v>150</v>
      </c>
      <c r="C61" s="55" t="s">
        <v>72</v>
      </c>
      <c r="D61" s="51">
        <v>2</v>
      </c>
      <c r="E61" s="53" t="str">
        <f t="shared" ref="E61:E67" si="11">IF(AND($G61&lt;&gt;"",$H61&lt;&gt;"",$I61&lt;&gt;"",$J61&lt;&gt;""),$D61,"")</f>
        <v/>
      </c>
      <c r="F61" s="66" t="str">
        <f t="shared" ref="F61:F67" si="12">IF(AND($G61&lt;&gt;"",$H61&lt;&gt;"",$I61&lt;&gt;"",$J61&lt;&gt;""),$J61,"")</f>
        <v/>
      </c>
      <c r="G61" s="59" t="str">
        <f>IF(AND($G52&lt;&gt;"",$H52&lt;&gt;"",$I52&lt;&gt;"",$J52&lt;&gt;""),G52,"")</f>
        <v/>
      </c>
      <c r="H61" s="76" t="str">
        <f t="shared" ref="H61:J61" si="13">IF(AND($G52&lt;&gt;"",$H52&lt;&gt;"",$I52&lt;&gt;"",$J52&lt;&gt;""),H52,"")</f>
        <v/>
      </c>
      <c r="I61" s="59" t="str">
        <f t="shared" si="13"/>
        <v/>
      </c>
      <c r="J61" s="59" t="str">
        <f t="shared" si="13"/>
        <v/>
      </c>
    </row>
    <row r="62" spans="1:10" x14ac:dyDescent="0.25">
      <c r="A62" s="50">
        <v>2</v>
      </c>
      <c r="B62" s="51" t="s">
        <v>155</v>
      </c>
      <c r="C62" s="56" t="s">
        <v>83</v>
      </c>
      <c r="D62" s="51">
        <v>4</v>
      </c>
      <c r="E62" s="53" t="str">
        <f t="shared" si="11"/>
        <v/>
      </c>
      <c r="F62" s="66" t="str">
        <f t="shared" si="12"/>
        <v/>
      </c>
      <c r="G62" s="78"/>
      <c r="H62" s="82"/>
      <c r="I62" s="80"/>
      <c r="J62" s="80"/>
    </row>
    <row r="63" spans="1:10" x14ac:dyDescent="0.25">
      <c r="A63" s="50">
        <v>3</v>
      </c>
      <c r="B63" s="51" t="s">
        <v>151</v>
      </c>
      <c r="C63" s="52" t="s">
        <v>76</v>
      </c>
      <c r="D63" s="51">
        <v>4</v>
      </c>
      <c r="E63" s="53" t="str">
        <f t="shared" si="11"/>
        <v/>
      </c>
      <c r="F63" s="66" t="str">
        <f t="shared" si="12"/>
        <v/>
      </c>
      <c r="G63" s="59" t="str">
        <f>IF(AND($G54&lt;&gt;"",$H54&lt;&gt;"",$I54&lt;&gt;"",$J54&lt;&gt;""),G54,"")</f>
        <v/>
      </c>
      <c r="H63" s="76" t="str">
        <f t="shared" ref="H63:J63" si="14">IF(AND($G54&lt;&gt;"",$H54&lt;&gt;"",$I54&lt;&gt;"",$J54&lt;&gt;""),H54,"")</f>
        <v/>
      </c>
      <c r="I63" s="59" t="str">
        <f t="shared" si="14"/>
        <v/>
      </c>
      <c r="J63" s="59" t="str">
        <f t="shared" si="14"/>
        <v/>
      </c>
    </row>
    <row r="64" spans="1:10" x14ac:dyDescent="0.25">
      <c r="A64" s="50">
        <v>4</v>
      </c>
      <c r="B64" s="51" t="s">
        <v>107</v>
      </c>
      <c r="C64" s="56" t="s">
        <v>85</v>
      </c>
      <c r="D64" s="51">
        <v>2</v>
      </c>
      <c r="E64" s="53">
        <f t="shared" si="11"/>
        <v>2</v>
      </c>
      <c r="F64" s="66" t="str">
        <f t="shared" si="12"/>
        <v>AB</v>
      </c>
      <c r="G64" s="78" t="s">
        <v>107</v>
      </c>
      <c r="H64" s="82" t="s">
        <v>85</v>
      </c>
      <c r="I64" s="80">
        <v>2</v>
      </c>
      <c r="J64" s="80" t="s">
        <v>181</v>
      </c>
    </row>
    <row r="65" spans="1:10" x14ac:dyDescent="0.25">
      <c r="A65" s="50">
        <v>5</v>
      </c>
      <c r="B65" s="51" t="s">
        <v>126</v>
      </c>
      <c r="C65" s="56" t="s">
        <v>87</v>
      </c>
      <c r="D65" s="51">
        <v>4</v>
      </c>
      <c r="E65" s="53" t="str">
        <f t="shared" si="11"/>
        <v/>
      </c>
      <c r="F65" s="66" t="str">
        <f t="shared" si="12"/>
        <v/>
      </c>
      <c r="G65" s="78"/>
      <c r="H65" s="82"/>
      <c r="I65" s="80"/>
      <c r="J65" s="80"/>
    </row>
    <row r="66" spans="1:10" x14ac:dyDescent="0.25">
      <c r="A66" s="50">
        <v>6</v>
      </c>
      <c r="B66" s="51" t="s">
        <v>59</v>
      </c>
      <c r="C66" s="55" t="s">
        <v>78</v>
      </c>
      <c r="D66" s="51">
        <v>2</v>
      </c>
      <c r="E66" s="53" t="str">
        <f t="shared" si="11"/>
        <v/>
      </c>
      <c r="F66" s="66" t="str">
        <f t="shared" si="12"/>
        <v/>
      </c>
      <c r="G66" s="59" t="str">
        <f>IF(AND($G56&lt;&gt;"",$H56&lt;&gt;"",$I56&lt;&gt;"",$J56&lt;&gt;""),G56,"")</f>
        <v/>
      </c>
      <c r="H66" s="76" t="str">
        <f t="shared" ref="H66:J66" si="15">IF(AND($G56&lt;&gt;"",$H56&lt;&gt;"",$I56&lt;&gt;"",$J56&lt;&gt;""),H56,"")</f>
        <v/>
      </c>
      <c r="I66" s="59" t="str">
        <f t="shared" si="15"/>
        <v/>
      </c>
      <c r="J66" s="59" t="str">
        <f t="shared" si="15"/>
        <v/>
      </c>
    </row>
    <row r="67" spans="1:10" x14ac:dyDescent="0.25">
      <c r="A67" s="50">
        <v>7</v>
      </c>
      <c r="B67" s="51" t="s">
        <v>154</v>
      </c>
      <c r="C67" s="55" t="s">
        <v>80</v>
      </c>
      <c r="D67" s="51">
        <v>2</v>
      </c>
      <c r="E67" s="53" t="str">
        <f t="shared" si="11"/>
        <v/>
      </c>
      <c r="F67" s="66" t="str">
        <f t="shared" si="12"/>
        <v/>
      </c>
      <c r="G67" s="59" t="str">
        <f>IF(AND($G58&lt;&gt;"",$H58&lt;&gt;"",$I58&lt;&gt;"",$J58&lt;&gt;""),G58,"")</f>
        <v/>
      </c>
      <c r="H67" s="76" t="str">
        <f t="shared" ref="H67:J67" si="16">IF(AND($G58&lt;&gt;"",$H58&lt;&gt;"",$I58&lt;&gt;"",$J58&lt;&gt;""),H58,"")</f>
        <v/>
      </c>
      <c r="I67" s="59" t="str">
        <f t="shared" si="16"/>
        <v/>
      </c>
      <c r="J67" s="59" t="str">
        <f t="shared" si="16"/>
        <v/>
      </c>
    </row>
    <row r="68" spans="1:10" x14ac:dyDescent="0.25">
      <c r="A68" s="114" t="s">
        <v>27</v>
      </c>
      <c r="B68" s="115"/>
      <c r="C68" s="116"/>
      <c r="D68" s="23">
        <f>SUM(D61:D67)</f>
        <v>20</v>
      </c>
      <c r="E68" s="23">
        <f>SUM(E61:E67)</f>
        <v>2</v>
      </c>
      <c r="F68" s="67"/>
      <c r="G68" s="60"/>
      <c r="H68" s="35"/>
      <c r="I68" s="25"/>
      <c r="J68" s="25"/>
    </row>
    <row r="69" spans="1:10" x14ac:dyDescent="0.25">
      <c r="A69" s="6" t="s">
        <v>88</v>
      </c>
      <c r="B69" s="6"/>
      <c r="C69" s="6"/>
      <c r="D69" s="17"/>
      <c r="E69" s="18"/>
      <c r="F69" s="69"/>
      <c r="G69" s="61"/>
      <c r="H69" s="15"/>
      <c r="I69" s="20"/>
      <c r="J69" s="20"/>
    </row>
    <row r="70" spans="1:10" x14ac:dyDescent="0.25">
      <c r="A70" s="50">
        <v>1</v>
      </c>
      <c r="B70" s="51" t="s">
        <v>150</v>
      </c>
      <c r="C70" s="55" t="s">
        <v>72</v>
      </c>
      <c r="D70" s="51">
        <v>2</v>
      </c>
      <c r="E70" s="53" t="str">
        <f t="shared" ref="E70:E76" si="17">IF(AND($G70&lt;&gt;"",$H70&lt;&gt;"",$I70&lt;&gt;"",$J70&lt;&gt;""),$D70,"")</f>
        <v/>
      </c>
      <c r="F70" s="66" t="str">
        <f t="shared" ref="F70:F76" si="18">IF(AND($G70&lt;&gt;"",$H70&lt;&gt;"",$I70&lt;&gt;"",$J70&lt;&gt;""),$J70,"")</f>
        <v/>
      </c>
      <c r="G70" s="59" t="str">
        <f>IF(AND($G52&lt;&gt;"",$H52&lt;&gt;"",$I52&lt;&gt;"",$J52&lt;&gt;""),G52,"")</f>
        <v/>
      </c>
      <c r="H70" s="76" t="str">
        <f t="shared" ref="H70:J70" si="19">IF(AND($G52&lt;&gt;"",$H52&lt;&gt;"",$I52&lt;&gt;"",$J52&lt;&gt;""),H52,"")</f>
        <v/>
      </c>
      <c r="I70" s="59" t="str">
        <f t="shared" si="19"/>
        <v/>
      </c>
      <c r="J70" s="59" t="str">
        <f t="shared" si="19"/>
        <v/>
      </c>
    </row>
    <row r="71" spans="1:10" x14ac:dyDescent="0.25">
      <c r="A71" s="50">
        <v>2</v>
      </c>
      <c r="B71" s="51" t="s">
        <v>151</v>
      </c>
      <c r="C71" s="52" t="s">
        <v>76</v>
      </c>
      <c r="D71" s="51">
        <v>4</v>
      </c>
      <c r="E71" s="53" t="str">
        <f t="shared" si="17"/>
        <v/>
      </c>
      <c r="F71" s="66" t="str">
        <f t="shared" si="18"/>
        <v/>
      </c>
      <c r="G71" s="59" t="str">
        <f>IF(AND($G54&lt;&gt;"",$H54&lt;&gt;"",$I54&lt;&gt;"",$J54&lt;&gt;""),G54,"")</f>
        <v/>
      </c>
      <c r="H71" s="76" t="str">
        <f t="shared" ref="H71:J71" si="20">IF(AND($G54&lt;&gt;"",$H54&lt;&gt;"",$I54&lt;&gt;"",$J54&lt;&gt;""),H54,"")</f>
        <v/>
      </c>
      <c r="I71" s="59" t="str">
        <f t="shared" si="20"/>
        <v/>
      </c>
      <c r="J71" s="59" t="str">
        <f t="shared" si="20"/>
        <v/>
      </c>
    </row>
    <row r="72" spans="1:10" x14ac:dyDescent="0.25">
      <c r="A72" s="50">
        <v>3</v>
      </c>
      <c r="B72" s="51" t="s">
        <v>156</v>
      </c>
      <c r="C72" s="56" t="s">
        <v>89</v>
      </c>
      <c r="D72" s="51">
        <v>4</v>
      </c>
      <c r="E72" s="53" t="str">
        <f t="shared" si="17"/>
        <v/>
      </c>
      <c r="F72" s="66" t="str">
        <f t="shared" si="18"/>
        <v/>
      </c>
      <c r="G72" s="78"/>
      <c r="H72" s="82"/>
      <c r="I72" s="80"/>
      <c r="J72" s="80"/>
    </row>
    <row r="73" spans="1:10" x14ac:dyDescent="0.25">
      <c r="A73" s="50">
        <v>4</v>
      </c>
      <c r="B73" s="51" t="s">
        <v>157</v>
      </c>
      <c r="C73" s="56" t="s">
        <v>91</v>
      </c>
      <c r="D73" s="51">
        <v>4</v>
      </c>
      <c r="E73" s="53" t="str">
        <f t="shared" si="17"/>
        <v/>
      </c>
      <c r="F73" s="66" t="str">
        <f t="shared" si="18"/>
        <v/>
      </c>
      <c r="G73" s="78"/>
      <c r="H73" s="82"/>
      <c r="I73" s="80"/>
      <c r="J73" s="80"/>
    </row>
    <row r="74" spans="1:10" x14ac:dyDescent="0.25">
      <c r="A74" s="50">
        <v>5</v>
      </c>
      <c r="B74" s="51" t="s">
        <v>59</v>
      </c>
      <c r="C74" s="55" t="s">
        <v>78</v>
      </c>
      <c r="D74" s="51">
        <v>2</v>
      </c>
      <c r="E74" s="53" t="str">
        <f t="shared" si="17"/>
        <v/>
      </c>
      <c r="F74" s="66" t="str">
        <f t="shared" si="18"/>
        <v/>
      </c>
      <c r="G74" s="59" t="str">
        <f>IF(AND($G56&lt;&gt;"",$H56&lt;&gt;"",$I56&lt;&gt;"",$J56&lt;&gt;""),G56,"")</f>
        <v/>
      </c>
      <c r="H74" s="76" t="str">
        <f t="shared" ref="H74:J74" si="21">IF(AND($G56&lt;&gt;"",$H56&lt;&gt;"",$I56&lt;&gt;"",$J56&lt;&gt;""),H56,"")</f>
        <v/>
      </c>
      <c r="I74" s="59" t="str">
        <f t="shared" si="21"/>
        <v/>
      </c>
      <c r="J74" s="59" t="str">
        <f t="shared" si="21"/>
        <v/>
      </c>
    </row>
    <row r="75" spans="1:10" x14ac:dyDescent="0.25">
      <c r="A75" s="50">
        <v>6</v>
      </c>
      <c r="B75" s="51" t="s">
        <v>158</v>
      </c>
      <c r="C75" s="56" t="s">
        <v>92</v>
      </c>
      <c r="D75" s="51">
        <v>2</v>
      </c>
      <c r="E75" s="53" t="str">
        <f t="shared" si="17"/>
        <v/>
      </c>
      <c r="F75" s="66" t="str">
        <f t="shared" si="18"/>
        <v/>
      </c>
      <c r="G75" s="78"/>
      <c r="H75" s="82"/>
      <c r="I75" s="80"/>
      <c r="J75" s="80"/>
    </row>
    <row r="76" spans="1:10" x14ac:dyDescent="0.25">
      <c r="A76" s="50">
        <v>7</v>
      </c>
      <c r="B76" s="51" t="s">
        <v>154</v>
      </c>
      <c r="C76" s="55" t="s">
        <v>80</v>
      </c>
      <c r="D76" s="51">
        <v>2</v>
      </c>
      <c r="E76" s="53" t="str">
        <f t="shared" si="17"/>
        <v/>
      </c>
      <c r="F76" s="66" t="str">
        <f t="shared" si="18"/>
        <v/>
      </c>
      <c r="G76" s="59" t="str">
        <f>IF(AND($G58&lt;&gt;"",$H58&lt;&gt;"",$I58&lt;&gt;"",$J58&lt;&gt;""),G58,"")</f>
        <v/>
      </c>
      <c r="H76" s="76" t="str">
        <f t="shared" ref="H76:J76" si="22">IF(AND($G58&lt;&gt;"",$H58&lt;&gt;"",$I58&lt;&gt;"",$J58&lt;&gt;""),H58,"")</f>
        <v/>
      </c>
      <c r="I76" s="59" t="str">
        <f t="shared" si="22"/>
        <v/>
      </c>
      <c r="J76" s="59" t="str">
        <f t="shared" si="22"/>
        <v/>
      </c>
    </row>
    <row r="77" spans="1:10" x14ac:dyDescent="0.25">
      <c r="A77" s="114" t="s">
        <v>27</v>
      </c>
      <c r="B77" s="115"/>
      <c r="C77" s="116"/>
      <c r="D77" s="36">
        <f>SUM(D70:D76)</f>
        <v>20</v>
      </c>
      <c r="E77" s="36">
        <f>SUM(E70:E76)</f>
        <v>0</v>
      </c>
      <c r="F77" s="67"/>
      <c r="G77" s="60"/>
      <c r="H77" s="35"/>
      <c r="I77" s="25"/>
      <c r="J77" s="25"/>
    </row>
    <row r="78" spans="1:10" x14ac:dyDescent="0.25">
      <c r="A78" s="6" t="s">
        <v>93</v>
      </c>
      <c r="B78" s="6"/>
      <c r="C78" s="6"/>
      <c r="D78" s="17"/>
      <c r="E78" s="18"/>
      <c r="F78" s="69"/>
      <c r="G78" s="61"/>
      <c r="H78" s="15"/>
      <c r="I78" s="20"/>
      <c r="J78" s="20"/>
    </row>
    <row r="79" spans="1:10" x14ac:dyDescent="0.25">
      <c r="A79" s="50">
        <v>1</v>
      </c>
      <c r="B79" s="51" t="s">
        <v>82</v>
      </c>
      <c r="C79" s="56" t="s">
        <v>94</v>
      </c>
      <c r="D79" s="51">
        <v>4</v>
      </c>
      <c r="E79" s="53" t="str">
        <f t="shared" ref="E79:E84" si="23">IF(AND($G79&lt;&gt;"",$H79&lt;&gt;"",$I79&lt;&gt;"",$J79&lt;&gt;""),$D79,"")</f>
        <v/>
      </c>
      <c r="F79" s="66" t="str">
        <f t="shared" ref="F79:F84" si="24">IF(AND($G79&lt;&gt;"",$H79&lt;&gt;"",$I79&lt;&gt;"",$J79&lt;&gt;""),$J79,"")</f>
        <v/>
      </c>
      <c r="G79" s="78"/>
      <c r="H79" s="79"/>
      <c r="I79" s="80"/>
      <c r="J79" s="80"/>
    </row>
    <row r="80" spans="1:10" x14ac:dyDescent="0.25">
      <c r="A80" s="50">
        <v>2</v>
      </c>
      <c r="B80" s="51" t="s">
        <v>84</v>
      </c>
      <c r="C80" s="56" t="s">
        <v>95</v>
      </c>
      <c r="D80" s="51">
        <v>4</v>
      </c>
      <c r="E80" s="53" t="str">
        <f t="shared" si="23"/>
        <v/>
      </c>
      <c r="F80" s="66" t="str">
        <f t="shared" si="24"/>
        <v/>
      </c>
      <c r="G80" s="78"/>
      <c r="H80" s="79"/>
      <c r="I80" s="80"/>
      <c r="J80" s="80"/>
    </row>
    <row r="81" spans="1:10" x14ac:dyDescent="0.25">
      <c r="A81" s="50">
        <v>3</v>
      </c>
      <c r="B81" s="51" t="s">
        <v>73</v>
      </c>
      <c r="C81" s="55" t="s">
        <v>96</v>
      </c>
      <c r="D81" s="51">
        <v>2</v>
      </c>
      <c r="E81" s="53" t="str">
        <f t="shared" si="23"/>
        <v/>
      </c>
      <c r="F81" s="66" t="str">
        <f t="shared" si="24"/>
        <v/>
      </c>
      <c r="G81" s="78"/>
      <c r="H81" s="79"/>
      <c r="I81" s="81"/>
      <c r="J81" s="80"/>
    </row>
    <row r="82" spans="1:10" x14ac:dyDescent="0.25">
      <c r="A82" s="50">
        <v>4</v>
      </c>
      <c r="B82" s="51" t="s">
        <v>159</v>
      </c>
      <c r="C82" s="52" t="s">
        <v>97</v>
      </c>
      <c r="D82" s="51">
        <v>2</v>
      </c>
      <c r="E82" s="53" t="str">
        <f t="shared" si="23"/>
        <v/>
      </c>
      <c r="F82" s="66" t="str">
        <f t="shared" si="24"/>
        <v/>
      </c>
      <c r="G82" s="78"/>
      <c r="H82" s="83"/>
      <c r="I82" s="80"/>
      <c r="J82" s="80"/>
    </row>
    <row r="83" spans="1:10" x14ac:dyDescent="0.25">
      <c r="A83" s="50">
        <v>5</v>
      </c>
      <c r="B83" s="51" t="s">
        <v>160</v>
      </c>
      <c r="C83" s="56" t="s">
        <v>99</v>
      </c>
      <c r="D83" s="51">
        <v>4</v>
      </c>
      <c r="E83" s="53" t="str">
        <f t="shared" si="23"/>
        <v/>
      </c>
      <c r="F83" s="66" t="str">
        <f t="shared" si="24"/>
        <v/>
      </c>
      <c r="G83" s="78"/>
      <c r="H83" s="79"/>
      <c r="I83" s="80"/>
      <c r="J83" s="80"/>
    </row>
    <row r="84" spans="1:10" x14ac:dyDescent="0.25">
      <c r="A84" s="50">
        <v>6</v>
      </c>
      <c r="B84" s="51" t="s">
        <v>161</v>
      </c>
      <c r="C84" s="52" t="s">
        <v>100</v>
      </c>
      <c r="D84" s="51">
        <v>4</v>
      </c>
      <c r="E84" s="53" t="str">
        <f t="shared" si="23"/>
        <v/>
      </c>
      <c r="F84" s="66" t="str">
        <f t="shared" si="24"/>
        <v/>
      </c>
      <c r="G84" s="78"/>
      <c r="H84" s="79"/>
      <c r="I84" s="81"/>
      <c r="J84" s="80"/>
    </row>
    <row r="85" spans="1:10" x14ac:dyDescent="0.25">
      <c r="A85" s="114" t="s">
        <v>27</v>
      </c>
      <c r="B85" s="115"/>
      <c r="C85" s="116"/>
      <c r="D85" s="23">
        <f>SUM(D79:D84)</f>
        <v>20</v>
      </c>
      <c r="E85" s="23">
        <f>SUM(E79:E84)</f>
        <v>0</v>
      </c>
      <c r="F85" s="67"/>
      <c r="G85" s="60"/>
      <c r="H85" s="35"/>
      <c r="I85" s="24"/>
      <c r="J85" s="25"/>
    </row>
    <row r="86" spans="1:10" x14ac:dyDescent="0.25">
      <c r="A86" s="6" t="s">
        <v>101</v>
      </c>
      <c r="B86" s="6"/>
      <c r="C86" s="6"/>
      <c r="D86" s="17"/>
      <c r="E86" s="18"/>
      <c r="F86" s="69"/>
      <c r="G86" s="61"/>
      <c r="H86" s="15"/>
      <c r="I86" s="20"/>
      <c r="J86" s="20"/>
    </row>
    <row r="87" spans="1:10" x14ac:dyDescent="0.25">
      <c r="A87" s="50">
        <v>1</v>
      </c>
      <c r="B87" s="51" t="s">
        <v>162</v>
      </c>
      <c r="C87" s="56" t="s">
        <v>102</v>
      </c>
      <c r="D87" s="51">
        <v>4</v>
      </c>
      <c r="E87" s="53" t="str">
        <f t="shared" ref="E87:E92" si="25">IF(AND($G87&lt;&gt;"",$H87&lt;&gt;"",$I87&lt;&gt;"",$J87&lt;&gt;""),$D87,"")</f>
        <v/>
      </c>
      <c r="F87" s="66" t="str">
        <f t="shared" ref="F87:F92" si="26">IF(AND($G87&lt;&gt;"",$H87&lt;&gt;"",$I87&lt;&gt;"",$J87&lt;&gt;""),$J87,"")</f>
        <v/>
      </c>
      <c r="G87" s="78"/>
      <c r="H87" s="82"/>
      <c r="I87" s="80"/>
      <c r="J87" s="80"/>
    </row>
    <row r="88" spans="1:10" x14ac:dyDescent="0.25">
      <c r="A88" s="50">
        <v>2</v>
      </c>
      <c r="B88" s="51" t="s">
        <v>73</v>
      </c>
      <c r="C88" s="55" t="s">
        <v>96</v>
      </c>
      <c r="D88" s="51">
        <v>2</v>
      </c>
      <c r="E88" s="53" t="str">
        <f t="shared" si="25"/>
        <v/>
      </c>
      <c r="F88" s="66" t="str">
        <f t="shared" si="26"/>
        <v/>
      </c>
      <c r="G88" s="59" t="str">
        <f>IF(AND($G81&lt;&gt;"",$H81&lt;&gt;"",$I81&lt;&gt;"",$J81&lt;&gt;""),G81,"")</f>
        <v/>
      </c>
      <c r="H88" s="76" t="str">
        <f t="shared" ref="H88:J88" si="27">IF(AND($G81&lt;&gt;"",$H81&lt;&gt;"",$I81&lt;&gt;"",$J81&lt;&gt;""),H81,"")</f>
        <v/>
      </c>
      <c r="I88" s="59" t="str">
        <f t="shared" si="27"/>
        <v/>
      </c>
      <c r="J88" s="59" t="str">
        <f t="shared" si="27"/>
        <v/>
      </c>
    </row>
    <row r="89" spans="1:10" x14ac:dyDescent="0.25">
      <c r="A89" s="50">
        <v>3</v>
      </c>
      <c r="B89" s="51" t="s">
        <v>163</v>
      </c>
      <c r="C89" s="56" t="s">
        <v>103</v>
      </c>
      <c r="D89" s="51">
        <v>4</v>
      </c>
      <c r="E89" s="53" t="str">
        <f t="shared" si="25"/>
        <v/>
      </c>
      <c r="F89" s="66" t="str">
        <f t="shared" si="26"/>
        <v/>
      </c>
      <c r="G89" s="78"/>
      <c r="H89" s="82"/>
      <c r="I89" s="80"/>
      <c r="J89" s="80"/>
    </row>
    <row r="90" spans="1:10" x14ac:dyDescent="0.25">
      <c r="A90" s="50">
        <v>4</v>
      </c>
      <c r="B90" s="51" t="s">
        <v>159</v>
      </c>
      <c r="C90" s="52" t="s">
        <v>97</v>
      </c>
      <c r="D90" s="51">
        <v>2</v>
      </c>
      <c r="E90" s="53" t="str">
        <f t="shared" si="25"/>
        <v/>
      </c>
      <c r="F90" s="66" t="str">
        <f t="shared" si="26"/>
        <v/>
      </c>
      <c r="G90" s="59" t="str">
        <f>IF(AND($G82&lt;&gt;"",$H82&lt;&gt;"",$I82&lt;&gt;"",$J82&lt;&gt;""),G82,"")</f>
        <v/>
      </c>
      <c r="H90" s="76" t="str">
        <f t="shared" ref="H90:J90" si="28">IF(AND($G82&lt;&gt;"",$H82&lt;&gt;"",$I82&lt;&gt;"",$J82&lt;&gt;""),H82,"")</f>
        <v/>
      </c>
      <c r="I90" s="59" t="str">
        <f t="shared" si="28"/>
        <v/>
      </c>
      <c r="J90" s="59" t="str">
        <f t="shared" si="28"/>
        <v/>
      </c>
    </row>
    <row r="91" spans="1:10" x14ac:dyDescent="0.25">
      <c r="A91" s="50">
        <v>5</v>
      </c>
      <c r="B91" s="51" t="s">
        <v>90</v>
      </c>
      <c r="C91" s="56" t="s">
        <v>104</v>
      </c>
      <c r="D91" s="51">
        <v>4</v>
      </c>
      <c r="E91" s="53" t="str">
        <f t="shared" si="25"/>
        <v/>
      </c>
      <c r="F91" s="66" t="str">
        <f t="shared" si="26"/>
        <v/>
      </c>
      <c r="G91" s="78"/>
      <c r="H91" s="82"/>
      <c r="I91" s="80"/>
      <c r="J91" s="80"/>
    </row>
    <row r="92" spans="1:10" x14ac:dyDescent="0.25">
      <c r="A92" s="50">
        <v>6</v>
      </c>
      <c r="B92" s="51" t="s">
        <v>161</v>
      </c>
      <c r="C92" s="52" t="s">
        <v>100</v>
      </c>
      <c r="D92" s="51">
        <v>4</v>
      </c>
      <c r="E92" s="53" t="str">
        <f t="shared" si="25"/>
        <v/>
      </c>
      <c r="F92" s="66" t="str">
        <f t="shared" si="26"/>
        <v/>
      </c>
      <c r="G92" s="59" t="str">
        <f>IF(AND($G84&lt;&gt;"",$H84&lt;&gt;"",$I84&lt;&gt;"",$J84&lt;&gt;""),G84,"")</f>
        <v/>
      </c>
      <c r="H92" s="76" t="str">
        <f t="shared" ref="H92:J92" si="29">IF(AND($G84&lt;&gt;"",$H84&lt;&gt;"",$I84&lt;&gt;"",$J84&lt;&gt;""),H84,"")</f>
        <v/>
      </c>
      <c r="I92" s="59" t="str">
        <f t="shared" si="29"/>
        <v/>
      </c>
      <c r="J92" s="59" t="str">
        <f t="shared" si="29"/>
        <v/>
      </c>
    </row>
    <row r="93" spans="1:10" x14ac:dyDescent="0.25">
      <c r="A93" s="114" t="s">
        <v>27</v>
      </c>
      <c r="B93" s="115"/>
      <c r="C93" s="116"/>
      <c r="D93" s="23">
        <f>SUM(D87:D92)</f>
        <v>20</v>
      </c>
      <c r="E93" s="23">
        <f>SUM(E87:E92)</f>
        <v>0</v>
      </c>
      <c r="F93" s="67"/>
      <c r="G93" s="60"/>
      <c r="H93" s="27"/>
      <c r="I93" s="26"/>
      <c r="J93" s="26"/>
    </row>
    <row r="94" spans="1:10" x14ac:dyDescent="0.25">
      <c r="A94" s="6" t="s">
        <v>105</v>
      </c>
      <c r="B94" s="6"/>
      <c r="C94" s="6"/>
      <c r="D94" s="17"/>
      <c r="E94" s="18"/>
      <c r="F94" s="69"/>
      <c r="G94" s="61"/>
      <c r="H94" s="15"/>
      <c r="I94" s="20"/>
      <c r="J94" s="20"/>
    </row>
    <row r="95" spans="1:10" x14ac:dyDescent="0.25">
      <c r="A95" s="50">
        <v>1</v>
      </c>
      <c r="B95" s="51" t="s">
        <v>164</v>
      </c>
      <c r="C95" s="56" t="s">
        <v>106</v>
      </c>
      <c r="D95" s="53">
        <v>4</v>
      </c>
      <c r="E95" s="53" t="str">
        <f t="shared" ref="E95:E100" si="30">IF(AND($G95&lt;&gt;"",$H95&lt;&gt;"",$I95&lt;&gt;"",$J95&lt;&gt;""),$D95,"")</f>
        <v/>
      </c>
      <c r="F95" s="66" t="str">
        <f t="shared" ref="F95:F100" si="31">IF(AND($G95&lt;&gt;"",$H95&lt;&gt;"",$I95&lt;&gt;"",$J95&lt;&gt;""),$J95,"")</f>
        <v/>
      </c>
      <c r="G95" s="78"/>
      <c r="H95" s="79"/>
      <c r="I95" s="80"/>
      <c r="J95" s="80"/>
    </row>
    <row r="96" spans="1:10" x14ac:dyDescent="0.25">
      <c r="A96" s="50">
        <v>2</v>
      </c>
      <c r="B96" s="51" t="s">
        <v>165</v>
      </c>
      <c r="C96" s="56" t="s">
        <v>108</v>
      </c>
      <c r="D96" s="53">
        <v>4</v>
      </c>
      <c r="E96" s="53" t="str">
        <f t="shared" si="30"/>
        <v/>
      </c>
      <c r="F96" s="66" t="str">
        <f t="shared" si="31"/>
        <v/>
      </c>
      <c r="G96" s="78"/>
      <c r="H96" s="79"/>
      <c r="I96" s="80"/>
      <c r="J96" s="80"/>
    </row>
    <row r="97" spans="1:10" x14ac:dyDescent="0.25">
      <c r="A97" s="50">
        <v>3</v>
      </c>
      <c r="B97" s="51" t="s">
        <v>166</v>
      </c>
      <c r="C97" s="56" t="s">
        <v>109</v>
      </c>
      <c r="D97" s="53">
        <v>4</v>
      </c>
      <c r="E97" s="53" t="str">
        <f t="shared" si="30"/>
        <v/>
      </c>
      <c r="F97" s="66" t="str">
        <f t="shared" si="31"/>
        <v/>
      </c>
      <c r="G97" s="78"/>
      <c r="H97" s="79"/>
      <c r="I97" s="80"/>
      <c r="J97" s="80"/>
    </row>
    <row r="98" spans="1:10" x14ac:dyDescent="0.25">
      <c r="A98" s="50">
        <v>4</v>
      </c>
      <c r="B98" s="51" t="s">
        <v>159</v>
      </c>
      <c r="C98" s="52" t="s">
        <v>97</v>
      </c>
      <c r="D98" s="53">
        <v>2</v>
      </c>
      <c r="E98" s="53" t="str">
        <f t="shared" si="30"/>
        <v/>
      </c>
      <c r="F98" s="66" t="str">
        <f t="shared" si="31"/>
        <v/>
      </c>
      <c r="G98" s="59" t="str">
        <f>IF(AND($G82&lt;&gt;"",$H82&lt;&gt;"",$I82&lt;&gt;"",$J82&lt;&gt;""),G82,"")</f>
        <v/>
      </c>
      <c r="H98" s="76" t="str">
        <f t="shared" ref="H98:J98" si="32">IF(AND($G82&lt;&gt;"",$H82&lt;&gt;"",$I82&lt;&gt;"",$J82&lt;&gt;""),H82,"")</f>
        <v/>
      </c>
      <c r="I98" s="59" t="str">
        <f t="shared" si="32"/>
        <v/>
      </c>
      <c r="J98" s="59" t="str">
        <f t="shared" si="32"/>
        <v/>
      </c>
    </row>
    <row r="99" spans="1:10" x14ac:dyDescent="0.25">
      <c r="A99" s="50">
        <v>5</v>
      </c>
      <c r="B99" s="51" t="s">
        <v>73</v>
      </c>
      <c r="C99" s="55" t="s">
        <v>96</v>
      </c>
      <c r="D99" s="53">
        <v>2</v>
      </c>
      <c r="E99" s="53" t="str">
        <f t="shared" si="30"/>
        <v/>
      </c>
      <c r="F99" s="66" t="str">
        <f t="shared" si="31"/>
        <v/>
      </c>
      <c r="G99" s="59" t="str">
        <f>IF(AND($G81&lt;&gt;"",$H81&lt;&gt;"",$I81&lt;&gt;"",$J81&lt;&gt;""),G81,"")</f>
        <v/>
      </c>
      <c r="H99" s="76" t="str">
        <f t="shared" ref="H99:J99" si="33">IF(AND($G81&lt;&gt;"",$H81&lt;&gt;"",$I81&lt;&gt;"",$J81&lt;&gt;""),H81,"")</f>
        <v/>
      </c>
      <c r="I99" s="59" t="str">
        <f t="shared" si="33"/>
        <v/>
      </c>
      <c r="J99" s="59" t="str">
        <f t="shared" si="33"/>
        <v/>
      </c>
    </row>
    <row r="100" spans="1:10" x14ac:dyDescent="0.25">
      <c r="A100" s="50">
        <v>6</v>
      </c>
      <c r="B100" s="51" t="s">
        <v>161</v>
      </c>
      <c r="C100" s="52" t="s">
        <v>100</v>
      </c>
      <c r="D100" s="53">
        <v>4</v>
      </c>
      <c r="E100" s="53" t="str">
        <f t="shared" si="30"/>
        <v/>
      </c>
      <c r="F100" s="66" t="str">
        <f t="shared" si="31"/>
        <v/>
      </c>
      <c r="G100" s="59" t="str">
        <f>IF(AND($G84&lt;&gt;"",$H84&lt;&gt;"",$I84&lt;&gt;"",$J84&lt;&gt;""),G84,"")</f>
        <v/>
      </c>
      <c r="H100" s="76" t="str">
        <f t="shared" ref="H100:J100" si="34">IF(AND($G84&lt;&gt;"",$H84&lt;&gt;"",$I84&lt;&gt;"",$J84&lt;&gt;""),H84,"")</f>
        <v/>
      </c>
      <c r="I100" s="59" t="str">
        <f t="shared" si="34"/>
        <v/>
      </c>
      <c r="J100" s="59" t="str">
        <f t="shared" si="34"/>
        <v/>
      </c>
    </row>
    <row r="101" spans="1:10" x14ac:dyDescent="0.25">
      <c r="A101" s="114" t="s">
        <v>27</v>
      </c>
      <c r="B101" s="115"/>
      <c r="C101" s="116"/>
      <c r="D101" s="23">
        <f>SUM(D95:D100)</f>
        <v>20</v>
      </c>
      <c r="E101" s="23">
        <f>SUM(E95:E100)</f>
        <v>0</v>
      </c>
      <c r="F101" s="67"/>
      <c r="G101" s="60"/>
      <c r="H101" s="27"/>
      <c r="I101" s="26"/>
      <c r="J101" s="26"/>
    </row>
    <row r="102" spans="1:10" x14ac:dyDescent="0.25">
      <c r="A102" s="6" t="s">
        <v>110</v>
      </c>
      <c r="B102" s="6"/>
      <c r="C102" s="6"/>
      <c r="D102" s="17"/>
      <c r="E102" s="18"/>
      <c r="F102" s="69"/>
      <c r="G102" s="61"/>
      <c r="H102" s="15"/>
      <c r="I102" s="20"/>
      <c r="J102" s="20"/>
    </row>
    <row r="103" spans="1:10" x14ac:dyDescent="0.25">
      <c r="A103" s="50">
        <v>1</v>
      </c>
      <c r="B103" s="51" t="s">
        <v>111</v>
      </c>
      <c r="C103" s="52" t="s">
        <v>112</v>
      </c>
      <c r="D103" s="53">
        <v>2</v>
      </c>
      <c r="E103" s="53" t="str">
        <f t="shared" ref="E103:E107" si="35">IF(AND($G103&lt;&gt;"",$H103&lt;&gt;"",$I103&lt;&gt;"",$J103&lt;&gt;""),$D103,"")</f>
        <v/>
      </c>
      <c r="F103" s="66" t="str">
        <f t="shared" ref="F103:F107" si="36">IF(AND($G103&lt;&gt;"",$H103&lt;&gt;"",$I103&lt;&gt;"",$J103&lt;&gt;""),$J103,"")</f>
        <v/>
      </c>
      <c r="G103" s="78"/>
      <c r="H103" s="84"/>
      <c r="I103" s="85"/>
      <c r="J103" s="85"/>
    </row>
    <row r="104" spans="1:10" x14ac:dyDescent="0.25">
      <c r="A104" s="50">
        <v>2</v>
      </c>
      <c r="B104" s="51" t="s">
        <v>113</v>
      </c>
      <c r="C104" s="52" t="s">
        <v>114</v>
      </c>
      <c r="D104" s="53">
        <v>2</v>
      </c>
      <c r="E104" s="53" t="str">
        <f t="shared" si="35"/>
        <v/>
      </c>
      <c r="F104" s="66" t="str">
        <f t="shared" si="36"/>
        <v/>
      </c>
      <c r="G104" s="78"/>
      <c r="H104" s="79"/>
      <c r="I104" s="86"/>
      <c r="J104" s="85"/>
    </row>
    <row r="105" spans="1:10" x14ac:dyDescent="0.25">
      <c r="A105" s="50">
        <v>3</v>
      </c>
      <c r="B105" s="51" t="s">
        <v>167</v>
      </c>
      <c r="C105" s="52" t="s">
        <v>115</v>
      </c>
      <c r="D105" s="53">
        <v>4</v>
      </c>
      <c r="E105" s="53" t="str">
        <f t="shared" si="35"/>
        <v/>
      </c>
      <c r="F105" s="66" t="str">
        <f t="shared" si="36"/>
        <v/>
      </c>
      <c r="G105" s="78"/>
      <c r="H105" s="79"/>
      <c r="I105" s="87"/>
      <c r="J105" s="87"/>
    </row>
    <row r="106" spans="1:10" x14ac:dyDescent="0.25">
      <c r="A106" s="50">
        <v>4</v>
      </c>
      <c r="B106" s="51" t="s">
        <v>168</v>
      </c>
      <c r="C106" s="52" t="s">
        <v>116</v>
      </c>
      <c r="D106" s="53">
        <v>2</v>
      </c>
      <c r="E106" s="53" t="str">
        <f t="shared" si="35"/>
        <v/>
      </c>
      <c r="F106" s="66" t="str">
        <f t="shared" si="36"/>
        <v/>
      </c>
      <c r="G106" s="78"/>
      <c r="H106" s="79"/>
      <c r="I106" s="81"/>
      <c r="J106" s="85"/>
    </row>
    <row r="107" spans="1:10" x14ac:dyDescent="0.25">
      <c r="A107" s="50">
        <v>5</v>
      </c>
      <c r="B107" s="51" t="s">
        <v>169</v>
      </c>
      <c r="C107" s="56" t="s">
        <v>117</v>
      </c>
      <c r="D107" s="53">
        <v>4</v>
      </c>
      <c r="E107" s="53" t="str">
        <f t="shared" si="35"/>
        <v/>
      </c>
      <c r="F107" s="66" t="str">
        <f t="shared" si="36"/>
        <v/>
      </c>
      <c r="G107" s="78"/>
      <c r="H107" s="84"/>
      <c r="I107" s="85"/>
      <c r="J107" s="85"/>
    </row>
    <row r="108" spans="1:10" x14ac:dyDescent="0.25">
      <c r="A108" s="114" t="s">
        <v>27</v>
      </c>
      <c r="B108" s="115"/>
      <c r="C108" s="116"/>
      <c r="D108" s="23">
        <f>SUM(D103:D107)</f>
        <v>14</v>
      </c>
      <c r="E108" s="23">
        <f>SUM(E103:E107)</f>
        <v>0</v>
      </c>
      <c r="F108" s="67"/>
      <c r="G108" s="60"/>
      <c r="H108" s="37"/>
      <c r="I108" s="38"/>
      <c r="J108" s="38"/>
    </row>
    <row r="109" spans="1:10" x14ac:dyDescent="0.25">
      <c r="A109" s="6" t="s">
        <v>118</v>
      </c>
      <c r="B109" s="6"/>
      <c r="C109" s="6"/>
      <c r="D109" s="17"/>
      <c r="E109" s="19"/>
      <c r="F109" s="70"/>
      <c r="G109" s="63"/>
      <c r="H109" s="15"/>
      <c r="I109" s="20"/>
      <c r="J109" s="22"/>
    </row>
    <row r="110" spans="1:10" x14ac:dyDescent="0.25">
      <c r="A110" s="50">
        <v>1</v>
      </c>
      <c r="B110" s="53" t="s">
        <v>111</v>
      </c>
      <c r="C110" s="52" t="s">
        <v>112</v>
      </c>
      <c r="D110" s="53">
        <v>2</v>
      </c>
      <c r="E110" s="53" t="str">
        <f t="shared" ref="E110:E114" si="37">IF(AND($G110&lt;&gt;"",$H110&lt;&gt;"",$I110&lt;&gt;"",$J110&lt;&gt;""),$D110,"")</f>
        <v/>
      </c>
      <c r="F110" s="66" t="str">
        <f t="shared" ref="F110:F114" si="38">IF(AND($G110&lt;&gt;"",$H110&lt;&gt;"",$I110&lt;&gt;"",$J110&lt;&gt;""),$J110,"")</f>
        <v/>
      </c>
      <c r="G110" s="59" t="str">
        <f>IF(AND($G103&lt;&gt;"",$H103&lt;&gt;"",$I103&lt;&gt;"",$J103&lt;&gt;""),G103,"")</f>
        <v/>
      </c>
      <c r="H110" s="76" t="str">
        <f t="shared" ref="H110:J110" si="39">IF(AND($G103&lt;&gt;"",$H103&lt;&gt;"",$I103&lt;&gt;"",$J103&lt;&gt;""),H103,"")</f>
        <v/>
      </c>
      <c r="I110" s="59" t="str">
        <f t="shared" si="39"/>
        <v/>
      </c>
      <c r="J110" s="59" t="str">
        <f t="shared" si="39"/>
        <v/>
      </c>
    </row>
    <row r="111" spans="1:10" x14ac:dyDescent="0.25">
      <c r="A111" s="50">
        <v>2</v>
      </c>
      <c r="B111" s="53" t="s">
        <v>113</v>
      </c>
      <c r="C111" s="52" t="s">
        <v>114</v>
      </c>
      <c r="D111" s="53">
        <v>2</v>
      </c>
      <c r="E111" s="53" t="str">
        <f t="shared" si="37"/>
        <v/>
      </c>
      <c r="F111" s="66" t="str">
        <f t="shared" si="38"/>
        <v/>
      </c>
      <c r="G111" s="59" t="str">
        <f>IF(AND($G104&lt;&gt;"",$H104&lt;&gt;"",$I104&lt;&gt;"",$J104&lt;&gt;""),G104,"")</f>
        <v/>
      </c>
      <c r="H111" s="76" t="str">
        <f t="shared" ref="H111:J111" si="40">IF(AND($G104&lt;&gt;"",$H104&lt;&gt;"",$I104&lt;&gt;"",$J104&lt;&gt;""),H104,"")</f>
        <v/>
      </c>
      <c r="I111" s="59" t="str">
        <f t="shared" si="40"/>
        <v/>
      </c>
      <c r="J111" s="59" t="str">
        <f t="shared" si="40"/>
        <v/>
      </c>
    </row>
    <row r="112" spans="1:10" x14ac:dyDescent="0.25">
      <c r="A112" s="50">
        <v>3</v>
      </c>
      <c r="B112" s="53" t="s">
        <v>170</v>
      </c>
      <c r="C112" s="56" t="s">
        <v>119</v>
      </c>
      <c r="D112" s="53">
        <v>4</v>
      </c>
      <c r="E112" s="53" t="str">
        <f t="shared" si="37"/>
        <v/>
      </c>
      <c r="F112" s="66" t="str">
        <f t="shared" si="38"/>
        <v/>
      </c>
      <c r="G112" s="78"/>
      <c r="H112" s="88"/>
      <c r="I112" s="85"/>
      <c r="J112" s="85"/>
    </row>
    <row r="113" spans="1:10" x14ac:dyDescent="0.25">
      <c r="A113" s="50">
        <v>4</v>
      </c>
      <c r="B113" s="53" t="s">
        <v>168</v>
      </c>
      <c r="C113" s="52" t="s">
        <v>116</v>
      </c>
      <c r="D113" s="53">
        <v>2</v>
      </c>
      <c r="E113" s="53" t="str">
        <f t="shared" si="37"/>
        <v/>
      </c>
      <c r="F113" s="66" t="str">
        <f t="shared" si="38"/>
        <v/>
      </c>
      <c r="G113" s="59" t="str">
        <f>IF(AND($G106&lt;&gt;"",$H106&lt;&gt;"",$I106&lt;&gt;"",$J106&lt;&gt;""),G106,"")</f>
        <v/>
      </c>
      <c r="H113" s="76" t="str">
        <f t="shared" ref="H113:J113" si="41">IF(AND($G106&lt;&gt;"",$H106&lt;&gt;"",$I106&lt;&gt;"",$J106&lt;&gt;""),H106,"")</f>
        <v/>
      </c>
      <c r="I113" s="59" t="str">
        <f t="shared" si="41"/>
        <v/>
      </c>
      <c r="J113" s="59" t="str">
        <f t="shared" si="41"/>
        <v/>
      </c>
    </row>
    <row r="114" spans="1:10" x14ac:dyDescent="0.25">
      <c r="A114" s="50">
        <v>5</v>
      </c>
      <c r="B114" s="53" t="s">
        <v>167</v>
      </c>
      <c r="C114" s="52" t="s">
        <v>115</v>
      </c>
      <c r="D114" s="53">
        <v>4</v>
      </c>
      <c r="E114" s="53" t="str">
        <f t="shared" si="37"/>
        <v/>
      </c>
      <c r="F114" s="66" t="str">
        <f t="shared" si="38"/>
        <v/>
      </c>
      <c r="G114" s="59" t="str">
        <f>IF(AND($G105&lt;&gt;"",$H105&lt;&gt;"",$I105&lt;&gt;"",$J105&lt;&gt;""),G105,"")</f>
        <v/>
      </c>
      <c r="H114" s="76" t="str">
        <f t="shared" ref="H114:J114" si="42">IF(AND($G105&lt;&gt;"",$H105&lt;&gt;"",$I105&lt;&gt;"",$J105&lt;&gt;""),H105,"")</f>
        <v/>
      </c>
      <c r="I114" s="59" t="str">
        <f t="shared" si="42"/>
        <v/>
      </c>
      <c r="J114" s="59" t="str">
        <f t="shared" si="42"/>
        <v/>
      </c>
    </row>
    <row r="115" spans="1:10" x14ac:dyDescent="0.25">
      <c r="A115" s="114" t="s">
        <v>27</v>
      </c>
      <c r="B115" s="115"/>
      <c r="C115" s="116"/>
      <c r="D115" s="23">
        <f>SUM(D110:D114)</f>
        <v>14</v>
      </c>
      <c r="E115" s="23">
        <f>SUM(E110:E114)</f>
        <v>0</v>
      </c>
      <c r="F115" s="67"/>
      <c r="G115" s="60"/>
      <c r="H115" s="39"/>
      <c r="I115" s="25"/>
      <c r="J115" s="25"/>
    </row>
    <row r="116" spans="1:10" x14ac:dyDescent="0.25">
      <c r="A116" s="6" t="s">
        <v>120</v>
      </c>
      <c r="B116" s="6"/>
      <c r="C116" s="6"/>
      <c r="D116" s="17"/>
      <c r="E116" s="19"/>
      <c r="F116" s="70"/>
      <c r="G116" s="63"/>
      <c r="H116" s="15"/>
      <c r="I116" s="20"/>
      <c r="J116" s="22"/>
    </row>
    <row r="117" spans="1:10" x14ac:dyDescent="0.25">
      <c r="A117" s="50">
        <v>1</v>
      </c>
      <c r="B117" s="53" t="s">
        <v>111</v>
      </c>
      <c r="C117" s="52" t="s">
        <v>112</v>
      </c>
      <c r="D117" s="53">
        <v>2</v>
      </c>
      <c r="E117" s="53" t="str">
        <f t="shared" ref="E117:E121" si="43">IF(AND($G117&lt;&gt;"",$H117&lt;&gt;"",$I117&lt;&gt;"",$J117&lt;&gt;""),$D117,"")</f>
        <v/>
      </c>
      <c r="F117" s="66" t="str">
        <f t="shared" ref="F117:F121" si="44">IF(AND($G117&lt;&gt;"",$H117&lt;&gt;"",$I117&lt;&gt;"",$J117&lt;&gt;""),$J117,"")</f>
        <v/>
      </c>
      <c r="G117" s="59" t="str">
        <f>IF(AND($G103&lt;&gt;"",$H103&lt;&gt;"",$I103&lt;&gt;"",$J103&lt;&gt;""),G103,"")</f>
        <v/>
      </c>
      <c r="H117" s="76" t="str">
        <f t="shared" ref="H117:J117" si="45">IF(AND($G103&lt;&gt;"",$H103&lt;&gt;"",$I103&lt;&gt;"",$J103&lt;&gt;""),H103,"")</f>
        <v/>
      </c>
      <c r="I117" s="59" t="str">
        <f t="shared" si="45"/>
        <v/>
      </c>
      <c r="J117" s="59" t="str">
        <f t="shared" si="45"/>
        <v/>
      </c>
    </row>
    <row r="118" spans="1:10" x14ac:dyDescent="0.25">
      <c r="A118" s="50">
        <v>2</v>
      </c>
      <c r="B118" s="53" t="s">
        <v>113</v>
      </c>
      <c r="C118" s="52" t="s">
        <v>114</v>
      </c>
      <c r="D118" s="53">
        <v>2</v>
      </c>
      <c r="E118" s="53" t="str">
        <f t="shared" si="43"/>
        <v/>
      </c>
      <c r="F118" s="66" t="str">
        <f t="shared" si="44"/>
        <v/>
      </c>
      <c r="G118" s="59" t="str">
        <f t="shared" ref="G118:J120" si="46">IF(AND($G104&lt;&gt;"",$H104&lt;&gt;"",$I104&lt;&gt;"",$J104&lt;&gt;""),G104,"")</f>
        <v/>
      </c>
      <c r="H118" s="76" t="str">
        <f t="shared" si="46"/>
        <v/>
      </c>
      <c r="I118" s="59" t="str">
        <f t="shared" si="46"/>
        <v/>
      </c>
      <c r="J118" s="59" t="str">
        <f t="shared" si="46"/>
        <v/>
      </c>
    </row>
    <row r="119" spans="1:10" x14ac:dyDescent="0.25">
      <c r="A119" s="50">
        <v>3</v>
      </c>
      <c r="B119" s="53" t="s">
        <v>167</v>
      </c>
      <c r="C119" s="52" t="s">
        <v>115</v>
      </c>
      <c r="D119" s="53">
        <v>4</v>
      </c>
      <c r="E119" s="53" t="str">
        <f t="shared" si="43"/>
        <v/>
      </c>
      <c r="F119" s="66" t="str">
        <f t="shared" si="44"/>
        <v/>
      </c>
      <c r="G119" s="59" t="str">
        <f t="shared" si="46"/>
        <v/>
      </c>
      <c r="H119" s="76" t="str">
        <f t="shared" si="46"/>
        <v/>
      </c>
      <c r="I119" s="59" t="str">
        <f t="shared" si="46"/>
        <v/>
      </c>
      <c r="J119" s="59" t="str">
        <f t="shared" si="46"/>
        <v/>
      </c>
    </row>
    <row r="120" spans="1:10" x14ac:dyDescent="0.25">
      <c r="A120" s="50">
        <v>4</v>
      </c>
      <c r="B120" s="53" t="s">
        <v>168</v>
      </c>
      <c r="C120" s="52" t="s">
        <v>116</v>
      </c>
      <c r="D120" s="53">
        <v>2</v>
      </c>
      <c r="E120" s="53" t="str">
        <f t="shared" si="43"/>
        <v/>
      </c>
      <c r="F120" s="66" t="str">
        <f t="shared" si="44"/>
        <v/>
      </c>
      <c r="G120" s="59" t="str">
        <f t="shared" si="46"/>
        <v/>
      </c>
      <c r="H120" s="76" t="str">
        <f t="shared" si="46"/>
        <v/>
      </c>
      <c r="I120" s="59" t="str">
        <f t="shared" si="46"/>
        <v/>
      </c>
      <c r="J120" s="59" t="str">
        <f t="shared" si="46"/>
        <v/>
      </c>
    </row>
    <row r="121" spans="1:10" x14ac:dyDescent="0.25">
      <c r="A121" s="50">
        <v>5</v>
      </c>
      <c r="B121" s="53" t="s">
        <v>171</v>
      </c>
      <c r="C121" s="56" t="s">
        <v>121</v>
      </c>
      <c r="D121" s="53">
        <v>4</v>
      </c>
      <c r="E121" s="53" t="str">
        <f t="shared" si="43"/>
        <v/>
      </c>
      <c r="F121" s="66" t="str">
        <f t="shared" si="44"/>
        <v/>
      </c>
      <c r="G121" s="78"/>
      <c r="H121" s="88"/>
      <c r="I121" s="85"/>
      <c r="J121" s="85"/>
    </row>
    <row r="122" spans="1:10" x14ac:dyDescent="0.25">
      <c r="A122" s="114" t="s">
        <v>27</v>
      </c>
      <c r="B122" s="115"/>
      <c r="C122" s="116"/>
      <c r="D122" s="23">
        <f>SUM(D117:D121)</f>
        <v>14</v>
      </c>
      <c r="E122" s="23">
        <f>SUM(E117:E121)</f>
        <v>0</v>
      </c>
      <c r="F122" s="67"/>
      <c r="G122" s="60"/>
      <c r="H122" s="39"/>
      <c r="I122" s="25"/>
      <c r="J122" s="25"/>
    </row>
    <row r="123" spans="1:10" x14ac:dyDescent="0.25">
      <c r="A123" s="6" t="s">
        <v>122</v>
      </c>
      <c r="B123" s="6"/>
      <c r="C123" s="6"/>
      <c r="D123" s="17"/>
      <c r="E123" s="19"/>
      <c r="F123" s="70"/>
      <c r="G123" s="63"/>
      <c r="H123" s="15"/>
      <c r="I123" s="20"/>
      <c r="J123" s="22"/>
    </row>
    <row r="124" spans="1:10" x14ac:dyDescent="0.25">
      <c r="A124" s="54">
        <v>1</v>
      </c>
      <c r="B124" s="53" t="s">
        <v>123</v>
      </c>
      <c r="C124" s="52" t="s">
        <v>124</v>
      </c>
      <c r="D124" s="53">
        <v>4</v>
      </c>
      <c r="E124" s="53" t="str">
        <f t="shared" ref="E124:E127" si="47">IF(AND($G124&lt;&gt;"",$H124&lt;&gt;"",$I124&lt;&gt;"",$J124&lt;&gt;""),$D124,"")</f>
        <v/>
      </c>
      <c r="F124" s="66" t="str">
        <f t="shared" ref="F124:F127" si="48">IF(AND($G124&lt;&gt;"",$H124&lt;&gt;"",$I124&lt;&gt;"",$J124&lt;&gt;""),$J124,"")</f>
        <v/>
      </c>
      <c r="G124" s="78"/>
      <c r="H124" s="88"/>
      <c r="I124" s="85"/>
      <c r="J124" s="85"/>
    </row>
    <row r="125" spans="1:10" x14ac:dyDescent="0.25">
      <c r="A125" s="54">
        <v>2</v>
      </c>
      <c r="B125" s="53" t="s">
        <v>172</v>
      </c>
      <c r="C125" s="55" t="s">
        <v>125</v>
      </c>
      <c r="D125" s="53">
        <v>4</v>
      </c>
      <c r="E125" s="53">
        <f t="shared" si="47"/>
        <v>4</v>
      </c>
      <c r="F125" s="66" t="str">
        <f t="shared" si="48"/>
        <v>B</v>
      </c>
      <c r="G125" s="78" t="s">
        <v>185</v>
      </c>
      <c r="H125" s="88" t="s">
        <v>125</v>
      </c>
      <c r="I125" s="85">
        <v>4</v>
      </c>
      <c r="J125" s="85" t="s">
        <v>177</v>
      </c>
    </row>
    <row r="126" spans="1:10" x14ac:dyDescent="0.25">
      <c r="A126" s="54">
        <v>3</v>
      </c>
      <c r="B126" s="53" t="s">
        <v>98</v>
      </c>
      <c r="C126" s="52" t="s">
        <v>127</v>
      </c>
      <c r="D126" s="53">
        <v>2</v>
      </c>
      <c r="E126" s="53" t="str">
        <f t="shared" si="47"/>
        <v/>
      </c>
      <c r="F126" s="66" t="str">
        <f t="shared" si="48"/>
        <v/>
      </c>
      <c r="G126" s="78"/>
      <c r="H126" s="88"/>
      <c r="I126" s="85"/>
      <c r="J126" s="85"/>
    </row>
    <row r="127" spans="1:10" x14ac:dyDescent="0.25">
      <c r="A127" s="54">
        <v>4</v>
      </c>
      <c r="B127" s="53" t="s">
        <v>128</v>
      </c>
      <c r="C127" s="52" t="s">
        <v>129</v>
      </c>
      <c r="D127" s="53">
        <v>2</v>
      </c>
      <c r="E127" s="53" t="str">
        <f t="shared" si="47"/>
        <v/>
      </c>
      <c r="F127" s="66" t="str">
        <f t="shared" si="48"/>
        <v/>
      </c>
      <c r="G127" s="78"/>
      <c r="H127" s="88"/>
      <c r="I127" s="85"/>
      <c r="J127" s="85"/>
    </row>
    <row r="128" spans="1:10" x14ac:dyDescent="0.25">
      <c r="A128" s="114" t="s">
        <v>27</v>
      </c>
      <c r="B128" s="115"/>
      <c r="C128" s="116"/>
      <c r="D128" s="23">
        <f>SUM(D124:D127)</f>
        <v>12</v>
      </c>
      <c r="E128" s="23">
        <f>SUM(E124:E127)</f>
        <v>4</v>
      </c>
      <c r="F128" s="67"/>
      <c r="G128" s="60"/>
      <c r="H128" s="39"/>
      <c r="I128" s="25"/>
      <c r="J128" s="25"/>
    </row>
    <row r="129" spans="1:10" x14ac:dyDescent="0.25">
      <c r="A129" s="103" t="s">
        <v>130</v>
      </c>
      <c r="B129" s="103"/>
      <c r="C129" s="103"/>
      <c r="D129" s="103">
        <f>SUM(E21,E32,E41,E50,E59,E68,E77,E85,E93,E101,E108,E115,E122,E128)</f>
        <v>40</v>
      </c>
      <c r="E129" s="103"/>
      <c r="F129" s="104"/>
      <c r="G129" s="105" t="s">
        <v>131</v>
      </c>
      <c r="H129" s="103"/>
      <c r="I129" s="103">
        <f>SUM(I12:I127)</f>
        <v>40</v>
      </c>
      <c r="J129" s="103"/>
    </row>
    <row r="130" spans="1:10" x14ac:dyDescent="0.25">
      <c r="A130" s="1"/>
      <c r="B130" s="1"/>
      <c r="C130" s="1"/>
      <c r="D130" s="8"/>
      <c r="E130" s="8"/>
      <c r="F130" s="8"/>
      <c r="G130" s="2"/>
      <c r="H130" s="14"/>
      <c r="I130" s="11"/>
      <c r="J130" s="11"/>
    </row>
    <row r="131" spans="1:10" x14ac:dyDescent="0.25">
      <c r="A131" s="1"/>
      <c r="B131" s="1"/>
      <c r="C131" s="40" t="s">
        <v>132</v>
      </c>
      <c r="D131" s="41">
        <f>E21+E32+E41+E50+E59+E85+E108+E128</f>
        <v>38</v>
      </c>
      <c r="E131" s="8"/>
      <c r="F131" s="7"/>
      <c r="G131" s="1"/>
      <c r="I131" s="8"/>
      <c r="J131" s="7"/>
    </row>
    <row r="132" spans="1:10" x14ac:dyDescent="0.25">
      <c r="A132" s="1"/>
      <c r="B132" s="1"/>
      <c r="C132" s="40" t="s">
        <v>133</v>
      </c>
      <c r="D132" s="41">
        <f>E21+E32+E41+E50+E68+E93+E115+E128</f>
        <v>40</v>
      </c>
      <c r="E132" s="8"/>
      <c r="F132" s="7"/>
      <c r="G132" s="1"/>
      <c r="I132" s="8"/>
      <c r="J132" s="7"/>
    </row>
    <row r="133" spans="1:10" x14ac:dyDescent="0.25">
      <c r="C133" s="40" t="s">
        <v>134</v>
      </c>
      <c r="D133" s="41">
        <f>E21+E32+E41+E50+E77+E101+E122+E128</f>
        <v>38</v>
      </c>
    </row>
  </sheetData>
  <sheetProtection algorithmName="SHA-512" hashValue="7EWBgBz+jdjLFqi4yFLHXHHjfmC4elWhWSDElkKatar2Y/T9wUgmMeL7eiEN9xMKURsZsOXFmTSuJdBT+HUipg==" saltValue="xIZ26AvWDfQnhAtSdSWdhw==" spinCount="100000" sheet="1" objects="1" scenarios="1" selectLockedCells="1"/>
  <mergeCells count="31">
    <mergeCell ref="A3:J3"/>
    <mergeCell ref="A6:B6"/>
    <mergeCell ref="A5:B5"/>
    <mergeCell ref="A7:B7"/>
    <mergeCell ref="I4:J6"/>
    <mergeCell ref="G7:J8"/>
    <mergeCell ref="A8:C8"/>
    <mergeCell ref="D4:F8"/>
    <mergeCell ref="A122:C122"/>
    <mergeCell ref="A128:C128"/>
    <mergeCell ref="A85:C85"/>
    <mergeCell ref="A93:C93"/>
    <mergeCell ref="A101:C101"/>
    <mergeCell ref="A108:C108"/>
    <mergeCell ref="A115:C115"/>
    <mergeCell ref="A129:C129"/>
    <mergeCell ref="D129:F129"/>
    <mergeCell ref="G129:H129"/>
    <mergeCell ref="I129:J129"/>
    <mergeCell ref="A1:J1"/>
    <mergeCell ref="A2:J2"/>
    <mergeCell ref="A4:B4"/>
    <mergeCell ref="A9:F9"/>
    <mergeCell ref="G9:J9"/>
    <mergeCell ref="A21:C21"/>
    <mergeCell ref="A32:C32"/>
    <mergeCell ref="A41:C41"/>
    <mergeCell ref="A50:C50"/>
    <mergeCell ref="A59:C59"/>
    <mergeCell ref="A68:C68"/>
    <mergeCell ref="A77:C77"/>
  </mergeCells>
  <conditionalFormatting sqref="A12:F20 A23:F31 A34:F40 A43:F49 A52:F58 A61:F67 A70:F76 A79:F84 A87:F92 A95:F100 A103:F107 A110:F114 A117:F121 A124:F127">
    <cfRule type="expression" dxfId="5" priority="1">
      <formula>$F12=""</formula>
    </cfRule>
  </conditionalFormatting>
  <pageMargins left="0.31496062992126" right="0.31496062992126" top="0.74803149606299202" bottom="0.74803149606299202" header="0.31496062992126" footer="0.31496062992126"/>
  <pageSetup paperSize="9" scale="57" fitToHeight="0" orientation="portrait" horizontalDpi="4294967294" r:id="rId1"/>
  <rowBreaks count="1" manualBreakCount="1">
    <brk id="77" max="16383" man="1"/>
  </rowBreaks>
  <ignoredErrors>
    <ignoredError sqref="G99:J9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selection activeCell="A10" sqref="A10"/>
    </sheetView>
  </sheetViews>
  <sheetFormatPr defaultRowHeight="15" x14ac:dyDescent="0.25"/>
  <cols>
    <col min="3" max="3" width="38.42578125" bestFit="1" customWidth="1"/>
    <col min="4" max="4" width="5.5703125" bestFit="1" customWidth="1"/>
    <col min="6" max="6" width="6.140625" bestFit="1" customWidth="1"/>
    <col min="7" max="7" width="6" bestFit="1" customWidth="1"/>
    <col min="8" max="8" width="50" customWidth="1"/>
    <col min="9" max="10" width="6.140625" bestFit="1" customWidth="1"/>
  </cols>
  <sheetData>
    <row r="1" spans="1:10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25">
      <c r="A2" s="106" t="s">
        <v>138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x14ac:dyDescent="0.25">
      <c r="A3" s="1"/>
      <c r="B3" s="1"/>
      <c r="C3" s="1"/>
      <c r="D3" s="8"/>
      <c r="E3" s="8"/>
      <c r="F3" s="8"/>
      <c r="G3" s="2"/>
      <c r="H3" s="14"/>
      <c r="I3" s="11"/>
      <c r="J3" s="11"/>
    </row>
    <row r="4" spans="1:10" x14ac:dyDescent="0.25">
      <c r="A4" s="92" t="s">
        <v>1</v>
      </c>
      <c r="B4" s="92"/>
      <c r="C4" s="3" t="str">
        <f>Proses!C4</f>
        <v>: I Made Oka Mahendra</v>
      </c>
      <c r="D4" s="8"/>
      <c r="E4" s="8"/>
      <c r="F4" s="49" t="s">
        <v>135</v>
      </c>
      <c r="G4" s="2"/>
      <c r="H4" s="14" t="str">
        <f>Proses!H4</f>
        <v>:Sistem Informasi</v>
      </c>
      <c r="I4" s="11"/>
      <c r="J4" s="11"/>
    </row>
    <row r="5" spans="1:10" x14ac:dyDescent="0.25">
      <c r="A5" s="3" t="s">
        <v>3</v>
      </c>
      <c r="B5" s="3"/>
      <c r="C5" s="1" t="str">
        <f>Proses!C5</f>
        <v>: ITB STIKOM Bali</v>
      </c>
      <c r="D5" s="8"/>
      <c r="E5" s="8"/>
      <c r="F5" s="49" t="s">
        <v>136</v>
      </c>
      <c r="G5" s="2"/>
      <c r="H5" s="14" t="str">
        <f>Proses!H5</f>
        <v>:ReNIM</v>
      </c>
      <c r="I5" s="11"/>
      <c r="J5" s="11"/>
    </row>
    <row r="6" spans="1:10" x14ac:dyDescent="0.25">
      <c r="A6" s="3" t="s">
        <v>4</v>
      </c>
      <c r="B6" s="3"/>
      <c r="C6" s="1" t="str">
        <f>Proses!C6</f>
        <v>: -</v>
      </c>
      <c r="D6" s="8"/>
      <c r="E6" s="8"/>
      <c r="F6" s="49" t="s">
        <v>137</v>
      </c>
      <c r="G6" s="2"/>
      <c r="H6" s="14" t="str">
        <f>Proses!H6</f>
        <v>: 6 Juli 2021</v>
      </c>
      <c r="I6" s="11"/>
      <c r="J6" s="11"/>
    </row>
    <row r="7" spans="1:10" x14ac:dyDescent="0.25">
      <c r="A7" s="107" t="str">
        <f>"Total SKS yang ditransfer : "&amp;D81&amp;" SKS"</f>
        <v>Total SKS yang ditransfer : 38 SKS</v>
      </c>
      <c r="B7" s="107"/>
      <c r="C7" s="107"/>
      <c r="D7" s="8"/>
      <c r="E7" s="8"/>
      <c r="F7" s="8"/>
      <c r="G7" s="2"/>
      <c r="H7" s="14"/>
      <c r="I7" s="11"/>
      <c r="J7" s="11"/>
    </row>
    <row r="8" spans="1:10" x14ac:dyDescent="0.25">
      <c r="A8" s="1"/>
      <c r="B8" s="1"/>
      <c r="C8" s="1"/>
      <c r="D8" s="8"/>
      <c r="E8" s="8"/>
      <c r="F8" s="8"/>
      <c r="G8" s="2"/>
      <c r="H8" s="14"/>
      <c r="I8" s="11"/>
      <c r="J8" s="11"/>
    </row>
    <row r="9" spans="1:10" x14ac:dyDescent="0.25">
      <c r="A9" s="124" t="s">
        <v>173</v>
      </c>
      <c r="B9" s="125"/>
      <c r="C9" s="125"/>
      <c r="D9" s="125"/>
      <c r="E9" s="125"/>
      <c r="F9" s="126"/>
      <c r="G9" s="125" t="s">
        <v>5</v>
      </c>
      <c r="H9" s="125"/>
      <c r="I9" s="125"/>
      <c r="J9" s="110"/>
    </row>
    <row r="10" spans="1:10" ht="42.75" customHeight="1" x14ac:dyDescent="0.25">
      <c r="A10" s="4" t="s">
        <v>6</v>
      </c>
      <c r="B10" s="4" t="s">
        <v>7</v>
      </c>
      <c r="C10" s="5" t="s">
        <v>8</v>
      </c>
      <c r="D10" s="16" t="s">
        <v>9</v>
      </c>
      <c r="E10" s="16" t="s">
        <v>10</v>
      </c>
      <c r="F10" s="64" t="s">
        <v>11</v>
      </c>
      <c r="G10" s="57" t="s">
        <v>7</v>
      </c>
      <c r="H10" s="9" t="s">
        <v>8</v>
      </c>
      <c r="I10" s="9" t="s">
        <v>9</v>
      </c>
      <c r="J10" s="9" t="s">
        <v>11</v>
      </c>
    </row>
    <row r="11" spans="1:10" x14ac:dyDescent="0.25">
      <c r="A11" s="6" t="s">
        <v>12</v>
      </c>
      <c r="B11" s="6"/>
      <c r="C11" s="6"/>
      <c r="D11" s="10"/>
      <c r="E11" s="10"/>
      <c r="F11" s="65"/>
      <c r="G11" s="58"/>
      <c r="H11" s="15"/>
      <c r="I11" s="12"/>
      <c r="J11" s="15"/>
    </row>
    <row r="12" spans="1:10" x14ac:dyDescent="0.25">
      <c r="A12" s="93">
        <v>1</v>
      </c>
      <c r="B12" s="94" t="s">
        <v>13</v>
      </c>
      <c r="C12" s="71" t="s">
        <v>140</v>
      </c>
      <c r="D12" s="94">
        <v>2</v>
      </c>
      <c r="E12" s="73">
        <f>IF(AND($G12&lt;&gt;"",$H12&lt;&gt;"",$I12&lt;&gt;"",$J12&lt;&gt;""),$D12,"")</f>
        <v>2</v>
      </c>
      <c r="F12" s="95" t="str">
        <f>IF(AND($G12&lt;&gt;"",$H12&lt;&gt;"",$I12&lt;&gt;"",$J12&lt;&gt;""),$J12,"")</f>
        <v>AB</v>
      </c>
      <c r="G12" s="99" t="str">
        <f>IF(AND(Proses!$G12&lt;&gt;"",Proses!$H12&lt;&gt;"",Proses!$I12&lt;&gt;"",Proses!$J12&lt;&gt;""),Proses!G12,"")</f>
        <v>SI9105</v>
      </c>
      <c r="H12" s="97" t="str">
        <f>IF(AND(Proses!$G12&lt;&gt;"",Proses!$H12&lt;&gt;"",Proses!$I12&lt;&gt;"",Proses!$J12&lt;&gt;""),Proses!H12,"")</f>
        <v>Bahasa Inggris I</v>
      </c>
      <c r="I12" s="96">
        <f>IF(AND(Proses!$G12&lt;&gt;"",Proses!$H12&lt;&gt;"",Proses!$I12&lt;&gt;"",Proses!$J12&lt;&gt;""),Proses!I12,"")</f>
        <v>2</v>
      </c>
      <c r="J12" s="96" t="str">
        <f>IF(AND(Proses!$G12&lt;&gt;"",Proses!$H12&lt;&gt;"",Proses!$I12&lt;&gt;"",Proses!$J12&lt;&gt;""),Proses!J12,"")</f>
        <v>AB</v>
      </c>
    </row>
    <row r="13" spans="1:10" x14ac:dyDescent="0.25">
      <c r="A13" s="93">
        <v>2</v>
      </c>
      <c r="B13" s="73" t="s">
        <v>141</v>
      </c>
      <c r="C13" s="71" t="s">
        <v>14</v>
      </c>
      <c r="D13" s="94">
        <v>2</v>
      </c>
      <c r="E13" s="73">
        <f t="shared" ref="E13:E20" si="0">IF(AND($G13&lt;&gt;"",$H13&lt;&gt;"",$I13&lt;&gt;"",$J13&lt;&gt;""),$D13,"")</f>
        <v>2</v>
      </c>
      <c r="F13" s="95" t="str">
        <f t="shared" ref="F13:F20" si="1">IF(AND($G13&lt;&gt;"",$H13&lt;&gt;"",$I13&lt;&gt;"",$J13&lt;&gt;""),$J13,"")</f>
        <v>A</v>
      </c>
      <c r="G13" s="99" t="str">
        <f>IF(AND(Proses!$G13&lt;&gt;"",Proses!$H13&lt;&gt;"",Proses!$I13&lt;&gt;"",Proses!$J13&lt;&gt;""),Proses!G13,"")</f>
        <v>SI9208</v>
      </c>
      <c r="H13" s="97" t="str">
        <f>IF(AND(Proses!$G13&lt;&gt;"",Proses!$H13&lt;&gt;"",Proses!$I13&lt;&gt;"",Proses!$J13&lt;&gt;""),Proses!H13,"")</f>
        <v>Seni Budaya</v>
      </c>
      <c r="I13" s="96">
        <f>IF(AND(Proses!$G13&lt;&gt;"",Proses!$H13&lt;&gt;"",Proses!$I13&lt;&gt;"",Proses!$J13&lt;&gt;""),Proses!I13,"")</f>
        <v>2</v>
      </c>
      <c r="J13" s="96" t="str">
        <f>IF(AND(Proses!$G13&lt;&gt;"",Proses!$H13&lt;&gt;"",Proses!$I13&lt;&gt;"",Proses!$J13&lt;&gt;""),Proses!J13,"")</f>
        <v>A</v>
      </c>
    </row>
    <row r="14" spans="1:10" x14ac:dyDescent="0.25">
      <c r="A14" s="93">
        <v>3</v>
      </c>
      <c r="B14" s="94" t="s">
        <v>15</v>
      </c>
      <c r="C14" s="71" t="s">
        <v>16</v>
      </c>
      <c r="D14" s="94">
        <v>4</v>
      </c>
      <c r="E14" s="73">
        <f t="shared" si="0"/>
        <v>4</v>
      </c>
      <c r="F14" s="95" t="str">
        <f t="shared" si="1"/>
        <v>AB</v>
      </c>
      <c r="G14" s="99" t="str">
        <f>IF(AND(Proses!$G14&lt;&gt;"",Proses!$H14&lt;&gt;"",Proses!$I14&lt;&gt;"",Proses!$J14&lt;&gt;""),Proses!G14,"")</f>
        <v>SI0201</v>
      </c>
      <c r="H14" s="97" t="str">
        <f>IF(AND(Proses!$G14&lt;&gt;"",Proses!$H14&lt;&gt;"",Proses!$I14&lt;&gt;"",Proses!$J14&lt;&gt;""),Proses!H14,"")</f>
        <v>Matematika Diskrit</v>
      </c>
      <c r="I14" s="96">
        <f>IF(AND(Proses!$G14&lt;&gt;"",Proses!$H14&lt;&gt;"",Proses!$I14&lt;&gt;"",Proses!$J14&lt;&gt;""),Proses!I14,"")</f>
        <v>4</v>
      </c>
      <c r="J14" s="96" t="str">
        <f>IF(AND(Proses!$G14&lt;&gt;"",Proses!$H14&lt;&gt;"",Proses!$I14&lt;&gt;"",Proses!$J14&lt;&gt;""),Proses!J14,"")</f>
        <v>AB</v>
      </c>
    </row>
    <row r="15" spans="1:10" x14ac:dyDescent="0.25">
      <c r="A15" s="93">
        <v>4</v>
      </c>
      <c r="B15" s="94" t="s">
        <v>17</v>
      </c>
      <c r="C15" s="75" t="s">
        <v>18</v>
      </c>
      <c r="D15" s="94">
        <v>2</v>
      </c>
      <c r="E15" s="73">
        <f t="shared" si="0"/>
        <v>2</v>
      </c>
      <c r="F15" s="95" t="str">
        <f t="shared" si="1"/>
        <v>AB</v>
      </c>
      <c r="G15" s="99" t="str">
        <f>IF(AND(Proses!$G15&lt;&gt;"",Proses!$H15&lt;&gt;"",Proses!$I15&lt;&gt;"",Proses!$J15&lt;&gt;""),Proses!G15,"")</f>
        <v>SI0202</v>
      </c>
      <c r="H15" s="97" t="str">
        <f>IF(AND(Proses!$G15&lt;&gt;"",Proses!$H15&lt;&gt;"",Proses!$I15&lt;&gt;"",Proses!$J15&lt;&gt;""),Proses!H15,"")</f>
        <v>Algoritma dan Pemrograman</v>
      </c>
      <c r="I15" s="96">
        <f>IF(AND(Proses!$G15&lt;&gt;"",Proses!$H15&lt;&gt;"",Proses!$I15&lt;&gt;"",Proses!$J15&lt;&gt;""),Proses!I15,"")</f>
        <v>2</v>
      </c>
      <c r="J15" s="96" t="str">
        <f>IF(AND(Proses!$G15&lt;&gt;"",Proses!$H15&lt;&gt;"",Proses!$I15&lt;&gt;"",Proses!$J15&lt;&gt;""),Proses!J15,"")</f>
        <v>AB</v>
      </c>
    </row>
    <row r="16" spans="1:10" x14ac:dyDescent="0.25">
      <c r="A16" s="93">
        <v>5</v>
      </c>
      <c r="B16" s="94" t="s">
        <v>37</v>
      </c>
      <c r="C16" s="75" t="s">
        <v>19</v>
      </c>
      <c r="D16" s="94">
        <v>1</v>
      </c>
      <c r="E16" s="73">
        <f t="shared" si="0"/>
        <v>1</v>
      </c>
      <c r="F16" s="95" t="str">
        <f t="shared" si="1"/>
        <v>AB</v>
      </c>
      <c r="G16" s="99" t="str">
        <f>IF(AND(Proses!$G16&lt;&gt;"",Proses!$H16&lt;&gt;"",Proses!$I16&lt;&gt;"",Proses!$J16&lt;&gt;""),Proses!G16,"")</f>
        <v>SI0304</v>
      </c>
      <c r="H16" s="97" t="str">
        <f>IF(AND(Proses!$G16&lt;&gt;"",Proses!$H16&lt;&gt;"",Proses!$I16&lt;&gt;"",Proses!$J16&lt;&gt;""),Proses!H16,"")</f>
        <v>Praktikum Algoritma dan Pemrograman</v>
      </c>
      <c r="I16" s="96">
        <f>IF(AND(Proses!$G16&lt;&gt;"",Proses!$H16&lt;&gt;"",Proses!$I16&lt;&gt;"",Proses!$J16&lt;&gt;""),Proses!I16,"")</f>
        <v>1</v>
      </c>
      <c r="J16" s="96" t="str">
        <f>IF(AND(Proses!$G16&lt;&gt;"",Proses!$H16&lt;&gt;"",Proses!$I16&lt;&gt;"",Proses!$J16&lt;&gt;""),Proses!J16,"")</f>
        <v>AB</v>
      </c>
    </row>
    <row r="17" spans="1:10" x14ac:dyDescent="0.25">
      <c r="A17" s="93">
        <v>6</v>
      </c>
      <c r="B17" s="94" t="s">
        <v>20</v>
      </c>
      <c r="C17" s="71" t="s">
        <v>21</v>
      </c>
      <c r="D17" s="94">
        <v>2</v>
      </c>
      <c r="E17" s="73">
        <f t="shared" si="0"/>
        <v>2</v>
      </c>
      <c r="F17" s="95" t="str">
        <f t="shared" si="1"/>
        <v>AB</v>
      </c>
      <c r="G17" s="99" t="str">
        <f>IF(AND(Proses!$G17&lt;&gt;"",Proses!$H17&lt;&gt;"",Proses!$I17&lt;&gt;"",Proses!$J17&lt;&gt;""),Proses!G17,"")</f>
        <v>SI9203</v>
      </c>
      <c r="H17" s="97" t="str">
        <f>IF(AND(Proses!$G17&lt;&gt;"",Proses!$H17&lt;&gt;"",Proses!$I17&lt;&gt;"",Proses!$J17&lt;&gt;""),Proses!H17,"")</f>
        <v>Pengantar Teknologi Informasi</v>
      </c>
      <c r="I17" s="96">
        <f>IF(AND(Proses!$G17&lt;&gt;"",Proses!$H17&lt;&gt;"",Proses!$I17&lt;&gt;"",Proses!$J17&lt;&gt;""),Proses!I17,"")</f>
        <v>2</v>
      </c>
      <c r="J17" s="96" t="str">
        <f>IF(AND(Proses!$G17&lt;&gt;"",Proses!$H17&lt;&gt;"",Proses!$I17&lt;&gt;"",Proses!$J17&lt;&gt;""),Proses!J17,"")</f>
        <v>AB</v>
      </c>
    </row>
    <row r="18" spans="1:10" x14ac:dyDescent="0.25">
      <c r="A18" s="93">
        <v>7</v>
      </c>
      <c r="B18" s="94" t="s">
        <v>22</v>
      </c>
      <c r="C18" s="71" t="s">
        <v>23</v>
      </c>
      <c r="D18" s="94">
        <v>1</v>
      </c>
      <c r="E18" s="73">
        <f t="shared" si="0"/>
        <v>1</v>
      </c>
      <c r="F18" s="95" t="str">
        <f t="shared" si="1"/>
        <v>B</v>
      </c>
      <c r="G18" s="99" t="str">
        <f>IF(AND(Proses!$G18&lt;&gt;"",Proses!$H18&lt;&gt;"",Proses!$I18&lt;&gt;"",Proses!$J18&lt;&gt;""),Proses!G18,"")</f>
        <v>SI9301</v>
      </c>
      <c r="H18" s="97" t="str">
        <f>IF(AND(Proses!$G18&lt;&gt;"",Proses!$H18&lt;&gt;"",Proses!$I18&lt;&gt;"",Proses!$J18&lt;&gt;""),Proses!H18,"")</f>
        <v>Praktikum Pengantar Teknologi Informasi</v>
      </c>
      <c r="I18" s="96">
        <f>IF(AND(Proses!$G18&lt;&gt;"",Proses!$H18&lt;&gt;"",Proses!$I18&lt;&gt;"",Proses!$J18&lt;&gt;""),Proses!I18,"")</f>
        <v>1</v>
      </c>
      <c r="J18" s="96" t="str">
        <f>IF(AND(Proses!$G18&lt;&gt;"",Proses!$H18&lt;&gt;"",Proses!$I18&lt;&gt;"",Proses!$J18&lt;&gt;""),Proses!J18,"")</f>
        <v>B</v>
      </c>
    </row>
    <row r="19" spans="1:10" x14ac:dyDescent="0.25">
      <c r="A19" s="93">
        <v>8</v>
      </c>
      <c r="B19" s="94" t="s">
        <v>24</v>
      </c>
      <c r="C19" s="71" t="s">
        <v>25</v>
      </c>
      <c r="D19" s="94">
        <v>2</v>
      </c>
      <c r="E19" s="73">
        <f t="shared" si="0"/>
        <v>2</v>
      </c>
      <c r="F19" s="95" t="str">
        <f t="shared" si="1"/>
        <v>A</v>
      </c>
      <c r="G19" s="99" t="str">
        <f>IF(AND(Proses!$G19&lt;&gt;"",Proses!$H19&lt;&gt;"",Proses!$I19&lt;&gt;"",Proses!$J19&lt;&gt;""),Proses!G19,"")</f>
        <v>SI0102</v>
      </c>
      <c r="H19" s="97" t="str">
        <f>IF(AND(Proses!$G19&lt;&gt;"",Proses!$H19&lt;&gt;"",Proses!$I19&lt;&gt;"",Proses!$J19&lt;&gt;""),Proses!H19,"")</f>
        <v>Pancasila</v>
      </c>
      <c r="I19" s="96">
        <f>IF(AND(Proses!$G19&lt;&gt;"",Proses!$H19&lt;&gt;"",Proses!$I19&lt;&gt;"",Proses!$J19&lt;&gt;""),Proses!I19,"")</f>
        <v>2</v>
      </c>
      <c r="J19" s="96" t="str">
        <f>IF(AND(Proses!$G19&lt;&gt;"",Proses!$H19&lt;&gt;"",Proses!$I19&lt;&gt;"",Proses!$J19&lt;&gt;""),Proses!J19,"")</f>
        <v>A</v>
      </c>
    </row>
    <row r="20" spans="1:10" x14ac:dyDescent="0.25">
      <c r="A20" s="93">
        <v>9</v>
      </c>
      <c r="B20" s="94" t="s">
        <v>142</v>
      </c>
      <c r="C20" s="71" t="s">
        <v>26</v>
      </c>
      <c r="D20" s="94">
        <v>2</v>
      </c>
      <c r="E20" s="73" t="str">
        <f t="shared" si="0"/>
        <v/>
      </c>
      <c r="F20" s="95" t="str">
        <f t="shared" si="1"/>
        <v/>
      </c>
      <c r="G20" s="99" t="str">
        <f>IF(AND(Proses!$G20&lt;&gt;"",Proses!$H20&lt;&gt;"",Proses!$I20&lt;&gt;"",Proses!$J20&lt;&gt;""),Proses!G20,"")</f>
        <v/>
      </c>
      <c r="H20" s="97" t="str">
        <f>IF(AND(Proses!$G20&lt;&gt;"",Proses!$H20&lt;&gt;"",Proses!$I20&lt;&gt;"",Proses!$J20&lt;&gt;""),Proses!H20,"")</f>
        <v/>
      </c>
      <c r="I20" s="96" t="str">
        <f>IF(AND(Proses!$G20&lt;&gt;"",Proses!$H20&lt;&gt;"",Proses!$I20&lt;&gt;"",Proses!$J20&lt;&gt;""),Proses!I20,"")</f>
        <v/>
      </c>
      <c r="J20" s="96" t="str">
        <f>IF(AND(Proses!$G20&lt;&gt;"",Proses!$H20&lt;&gt;"",Proses!$I20&lt;&gt;"",Proses!$J20&lt;&gt;""),Proses!J20,"")</f>
        <v/>
      </c>
    </row>
    <row r="21" spans="1:10" x14ac:dyDescent="0.25">
      <c r="A21" s="111" t="s">
        <v>27</v>
      </c>
      <c r="B21" s="112"/>
      <c r="C21" s="113"/>
      <c r="D21" s="28">
        <f>SUM(D12:D20)</f>
        <v>18</v>
      </c>
      <c r="E21" s="43">
        <f>IF(Proses!E21 &lt;&gt;"",Proses!E21,"")</f>
        <v>16</v>
      </c>
      <c r="F21" s="101" t="str">
        <f>IF(Proses!F21 &lt;&gt;"",Proses!F21,"")</f>
        <v/>
      </c>
      <c r="G21" s="100" t="str">
        <f>IF(Proses!G21 &lt;&gt;"",Proses!G21,"")</f>
        <v/>
      </c>
      <c r="H21" s="44" t="str">
        <f>IF(Proses!H21 &lt;&gt;"",Proses!H21,"")</f>
        <v/>
      </c>
      <c r="I21" s="43" t="str">
        <f>IF(Proses!I21 &lt;&gt;"",Proses!I21,"")</f>
        <v/>
      </c>
      <c r="J21" s="43" t="str">
        <f>IF(Proses!J21 &lt;&gt;"",Proses!J21,"")</f>
        <v/>
      </c>
    </row>
    <row r="22" spans="1:10" x14ac:dyDescent="0.25">
      <c r="A22" s="6" t="s">
        <v>28</v>
      </c>
      <c r="B22" s="6"/>
      <c r="C22" s="6"/>
      <c r="D22" s="17"/>
      <c r="E22" s="43" t="str">
        <f>IF(Proses!E22 &lt;&gt;"",Proses!E22,"")</f>
        <v/>
      </c>
      <c r="F22" s="101" t="str">
        <f>IF(Proses!F22 &lt;&gt;"",Proses!F22,"")</f>
        <v/>
      </c>
      <c r="G22" s="100" t="str">
        <f>IF(Proses!G22 &lt;&gt;"",Proses!G22,"")</f>
        <v/>
      </c>
      <c r="H22" s="44" t="str">
        <f>IF(Proses!H22 &lt;&gt;"",Proses!H22,"")</f>
        <v/>
      </c>
      <c r="I22" s="43" t="str">
        <f>IF(Proses!I22 &lt;&gt;"",Proses!I22,"")</f>
        <v/>
      </c>
      <c r="J22" s="43" t="str">
        <f>IF(Proses!J22 &lt;&gt;"",Proses!J22,"")</f>
        <v/>
      </c>
    </row>
    <row r="23" spans="1:10" x14ac:dyDescent="0.25">
      <c r="A23" s="93">
        <v>1</v>
      </c>
      <c r="B23" s="94" t="s">
        <v>143</v>
      </c>
      <c r="C23" s="75" t="s">
        <v>30</v>
      </c>
      <c r="D23" s="94">
        <v>4</v>
      </c>
      <c r="E23" s="73">
        <f t="shared" ref="E23:E31" si="2">IF(AND($G23&lt;&gt;"",$H23&lt;&gt;"",$I23&lt;&gt;"",$J23&lt;&gt;""),$D23,"")</f>
        <v>4</v>
      </c>
      <c r="F23" s="95" t="str">
        <f t="shared" ref="F23:F31" si="3">IF(AND($G23&lt;&gt;"",$H23&lt;&gt;"",$I23&lt;&gt;"",$J23&lt;&gt;""),$J23,"")</f>
        <v>C</v>
      </c>
      <c r="G23" s="99" t="str">
        <f>IF(AND(Proses!$G23&lt;&gt;"",Proses!$H23&lt;&gt;"",Proses!$I23&lt;&gt;"",Proses!$J23&lt;&gt;""),Proses!G23,"")</f>
        <v>SI0204</v>
      </c>
      <c r="H23" s="97" t="str">
        <f>IF(AND(Proses!$G23&lt;&gt;"",Proses!$H23&lt;&gt;"",Proses!$I23&lt;&gt;"",Proses!$J23&lt;&gt;""),Proses!H23,"")</f>
        <v>Komunikasi Data</v>
      </c>
      <c r="I23" s="96">
        <f>IF(AND(Proses!$G23&lt;&gt;"",Proses!$H23&lt;&gt;"",Proses!$I23&lt;&gt;"",Proses!$J23&lt;&gt;""),Proses!I23,"")</f>
        <v>4</v>
      </c>
      <c r="J23" s="96" t="str">
        <f>IF(AND(Proses!$G23&lt;&gt;"",Proses!$H23&lt;&gt;"",Proses!$I23&lt;&gt;"",Proses!$J23&lt;&gt;""),Proses!J23,"")</f>
        <v>C</v>
      </c>
    </row>
    <row r="24" spans="1:10" x14ac:dyDescent="0.25">
      <c r="A24" s="93">
        <v>2</v>
      </c>
      <c r="B24" s="94" t="s">
        <v>29</v>
      </c>
      <c r="C24" s="75" t="s">
        <v>32</v>
      </c>
      <c r="D24" s="94">
        <v>2</v>
      </c>
      <c r="E24" s="73">
        <f t="shared" si="2"/>
        <v>2</v>
      </c>
      <c r="F24" s="95" t="str">
        <f t="shared" si="3"/>
        <v>B</v>
      </c>
      <c r="G24" s="99" t="str">
        <f>IF(AND(Proses!$G24&lt;&gt;"",Proses!$H24&lt;&gt;"",Proses!$I24&lt;&gt;"",Proses!$J24&lt;&gt;""),Proses!G24,"")</f>
        <v>SI0205</v>
      </c>
      <c r="H24" s="97" t="str">
        <f>IF(AND(Proses!$G24&lt;&gt;"",Proses!$H24&lt;&gt;"",Proses!$I24&lt;&gt;"",Proses!$J24&lt;&gt;""),Proses!H24,"")</f>
        <v>Basis Data</v>
      </c>
      <c r="I24" s="96">
        <f>IF(AND(Proses!$G24&lt;&gt;"",Proses!$H24&lt;&gt;"",Proses!$I24&lt;&gt;"",Proses!$J24&lt;&gt;""),Proses!I24,"")</f>
        <v>2</v>
      </c>
      <c r="J24" s="96" t="str">
        <f>IF(AND(Proses!$G24&lt;&gt;"",Proses!$H24&lt;&gt;"",Proses!$I24&lt;&gt;"",Proses!$J24&lt;&gt;""),Proses!J24,"")</f>
        <v>B</v>
      </c>
    </row>
    <row r="25" spans="1:10" x14ac:dyDescent="0.25">
      <c r="A25" s="93">
        <v>3</v>
      </c>
      <c r="B25" s="94" t="s">
        <v>144</v>
      </c>
      <c r="C25" s="75" t="s">
        <v>34</v>
      </c>
      <c r="D25" s="94">
        <v>1</v>
      </c>
      <c r="E25" s="73" t="str">
        <f t="shared" si="2"/>
        <v/>
      </c>
      <c r="F25" s="95" t="str">
        <f t="shared" si="3"/>
        <v/>
      </c>
      <c r="G25" s="99" t="str">
        <f>IF(AND(Proses!$G25&lt;&gt;"",Proses!$H25&lt;&gt;"",Proses!$I25&lt;&gt;"",Proses!$J25&lt;&gt;""),Proses!G25,"")</f>
        <v/>
      </c>
      <c r="H25" s="97" t="str">
        <f>IF(AND(Proses!$G25&lt;&gt;"",Proses!$H25&lt;&gt;"",Proses!$I25&lt;&gt;"",Proses!$J25&lt;&gt;""),Proses!H25,"")</f>
        <v/>
      </c>
      <c r="I25" s="96" t="str">
        <f>IF(AND(Proses!$G25&lt;&gt;"",Proses!$H25&lt;&gt;"",Proses!$I25&lt;&gt;"",Proses!$J25&lt;&gt;""),Proses!I25,"")</f>
        <v/>
      </c>
      <c r="J25" s="96" t="str">
        <f>IF(AND(Proses!$G25&lt;&gt;"",Proses!$H25&lt;&gt;"",Proses!$I25&lt;&gt;"",Proses!$J25&lt;&gt;""),Proses!J25,"")</f>
        <v/>
      </c>
    </row>
    <row r="26" spans="1:10" x14ac:dyDescent="0.25">
      <c r="A26" s="93">
        <v>4</v>
      </c>
      <c r="B26" s="94" t="s">
        <v>31</v>
      </c>
      <c r="C26" s="75" t="s">
        <v>36</v>
      </c>
      <c r="D26" s="94">
        <v>2</v>
      </c>
      <c r="E26" s="73">
        <f t="shared" si="2"/>
        <v>2</v>
      </c>
      <c r="F26" s="95" t="str">
        <f t="shared" si="3"/>
        <v>A</v>
      </c>
      <c r="G26" s="99" t="str">
        <f>IF(AND(Proses!$G26&lt;&gt;"",Proses!$H26&lt;&gt;"",Proses!$I26&lt;&gt;"",Proses!$J26&lt;&gt;""),Proses!G26,"")</f>
        <v>SI0206</v>
      </c>
      <c r="H26" s="97" t="str">
        <f>IF(AND(Proses!$G26&lt;&gt;"",Proses!$H26&lt;&gt;"",Proses!$I26&lt;&gt;"",Proses!$J26&lt;&gt;""),Proses!H26,"")</f>
        <v>Struktur Data</v>
      </c>
      <c r="I26" s="96">
        <f>IF(AND(Proses!$G26&lt;&gt;"",Proses!$H26&lt;&gt;"",Proses!$I26&lt;&gt;"",Proses!$J26&lt;&gt;""),Proses!I26,"")</f>
        <v>2</v>
      </c>
      <c r="J26" s="96" t="str">
        <f>IF(AND(Proses!$G26&lt;&gt;"",Proses!$H26&lt;&gt;"",Proses!$I26&lt;&gt;"",Proses!$J26&lt;&gt;""),Proses!J26,"")</f>
        <v>A</v>
      </c>
    </row>
    <row r="27" spans="1:10" x14ac:dyDescent="0.25">
      <c r="A27" s="93">
        <v>5</v>
      </c>
      <c r="B27" s="94" t="s">
        <v>33</v>
      </c>
      <c r="C27" s="75" t="s">
        <v>38</v>
      </c>
      <c r="D27" s="94">
        <v>1</v>
      </c>
      <c r="E27" s="73">
        <f t="shared" si="2"/>
        <v>1</v>
      </c>
      <c r="F27" s="95" t="str">
        <f t="shared" si="3"/>
        <v>C</v>
      </c>
      <c r="G27" s="99" t="str">
        <f>IF(AND(Proses!$G27&lt;&gt;"",Proses!$H27&lt;&gt;"",Proses!$I27&lt;&gt;"",Proses!$J27&lt;&gt;""),Proses!G27,"")</f>
        <v>SI0303</v>
      </c>
      <c r="H27" s="97" t="str">
        <f>IF(AND(Proses!$G27&lt;&gt;"",Proses!$H27&lt;&gt;"",Proses!$I27&lt;&gt;"",Proses!$J27&lt;&gt;""),Proses!H27,"")</f>
        <v>Praktikum Struktur Data</v>
      </c>
      <c r="I27" s="96">
        <f>IF(AND(Proses!$G27&lt;&gt;"",Proses!$H27&lt;&gt;"",Proses!$I27&lt;&gt;"",Proses!$J27&lt;&gt;""),Proses!I27,"")</f>
        <v>1</v>
      </c>
      <c r="J27" s="96" t="str">
        <f>IF(AND(Proses!$G27&lt;&gt;"",Proses!$H27&lt;&gt;"",Proses!$I27&lt;&gt;"",Proses!$J27&lt;&gt;""),Proses!J27,"")</f>
        <v>C</v>
      </c>
    </row>
    <row r="28" spans="1:10" x14ac:dyDescent="0.25">
      <c r="A28" s="93">
        <v>6</v>
      </c>
      <c r="B28" s="94" t="s">
        <v>145</v>
      </c>
      <c r="C28" s="75" t="s">
        <v>39</v>
      </c>
      <c r="D28" s="94">
        <v>2</v>
      </c>
      <c r="E28" s="73">
        <f t="shared" si="2"/>
        <v>2</v>
      </c>
      <c r="F28" s="95" t="str">
        <f t="shared" si="3"/>
        <v>C</v>
      </c>
      <c r="G28" s="99" t="str">
        <f>IF(AND(Proses!$G28&lt;&gt;"",Proses!$H28&lt;&gt;"",Proses!$I28&lt;&gt;"",Proses!$J28&lt;&gt;""),Proses!G28,"")</f>
        <v>SI9207</v>
      </c>
      <c r="H28" s="97" t="str">
        <f>IF(AND(Proses!$G28&lt;&gt;"",Proses!$H28&lt;&gt;"",Proses!$I28&lt;&gt;"",Proses!$J28&lt;&gt;""),Proses!H28,"")</f>
        <v>Organisasi Komputer</v>
      </c>
      <c r="I28" s="96">
        <f>IF(AND(Proses!$G28&lt;&gt;"",Proses!$H28&lt;&gt;"",Proses!$I28&lt;&gt;"",Proses!$J28&lt;&gt;""),Proses!I28,"")</f>
        <v>2</v>
      </c>
      <c r="J28" s="96" t="str">
        <f>IF(AND(Proses!$G28&lt;&gt;"",Proses!$H28&lt;&gt;"",Proses!$I28&lt;&gt;"",Proses!$J28&lt;&gt;""),Proses!J28,"")</f>
        <v>C</v>
      </c>
    </row>
    <row r="29" spans="1:10" x14ac:dyDescent="0.25">
      <c r="A29" s="93">
        <v>7</v>
      </c>
      <c r="B29" s="94" t="s">
        <v>40</v>
      </c>
      <c r="C29" s="75" t="s">
        <v>41</v>
      </c>
      <c r="D29" s="94">
        <v>2</v>
      </c>
      <c r="E29" s="73" t="str">
        <f t="shared" si="2"/>
        <v/>
      </c>
      <c r="F29" s="95" t="str">
        <f t="shared" si="3"/>
        <v/>
      </c>
      <c r="G29" s="99" t="str">
        <f>IF(AND(Proses!$G29&lt;&gt;"",Proses!$H29&lt;&gt;"",Proses!$I29&lt;&gt;"",Proses!$J29&lt;&gt;""),Proses!G29,"")</f>
        <v/>
      </c>
      <c r="H29" s="97" t="str">
        <f>IF(AND(Proses!$G29&lt;&gt;"",Proses!$H29&lt;&gt;"",Proses!$I29&lt;&gt;"",Proses!$J29&lt;&gt;""),Proses!H29,"")</f>
        <v/>
      </c>
      <c r="I29" s="96" t="str">
        <f>IF(AND(Proses!$G29&lt;&gt;"",Proses!$H29&lt;&gt;"",Proses!$I29&lt;&gt;"",Proses!$J29&lt;&gt;""),Proses!I29,"")</f>
        <v/>
      </c>
      <c r="J29" s="96" t="str">
        <f>IF(AND(Proses!$G29&lt;&gt;"",Proses!$H29&lt;&gt;"",Proses!$I29&lt;&gt;"",Proses!$J29&lt;&gt;""),Proses!J29,"")</f>
        <v/>
      </c>
    </row>
    <row r="30" spans="1:10" x14ac:dyDescent="0.25">
      <c r="A30" s="93">
        <v>8</v>
      </c>
      <c r="B30" s="94" t="s">
        <v>42</v>
      </c>
      <c r="C30" s="75" t="s">
        <v>43</v>
      </c>
      <c r="D30" s="94">
        <v>2</v>
      </c>
      <c r="E30" s="73" t="str">
        <f t="shared" si="2"/>
        <v/>
      </c>
      <c r="F30" s="95" t="str">
        <f t="shared" si="3"/>
        <v/>
      </c>
      <c r="G30" s="99" t="str">
        <f>IF(AND(Proses!$G30&lt;&gt;"",Proses!$H30&lt;&gt;"",Proses!$I30&lt;&gt;"",Proses!$J30&lt;&gt;""),Proses!G30,"")</f>
        <v/>
      </c>
      <c r="H30" s="97" t="str">
        <f>IF(AND(Proses!$G30&lt;&gt;"",Proses!$H30&lt;&gt;"",Proses!$I30&lt;&gt;"",Proses!$J30&lt;&gt;""),Proses!H30,"")</f>
        <v/>
      </c>
      <c r="I30" s="96" t="str">
        <f>IF(AND(Proses!$G30&lt;&gt;"",Proses!$H30&lt;&gt;"",Proses!$I30&lt;&gt;"",Proses!$J30&lt;&gt;""),Proses!I30,"")</f>
        <v/>
      </c>
      <c r="J30" s="96" t="str">
        <f>IF(AND(Proses!$G30&lt;&gt;"",Proses!$H30&lt;&gt;"",Proses!$I30&lt;&gt;"",Proses!$J30&lt;&gt;""),Proses!J30,"")</f>
        <v/>
      </c>
    </row>
    <row r="31" spans="1:10" x14ac:dyDescent="0.25">
      <c r="A31" s="93">
        <v>9</v>
      </c>
      <c r="B31" s="94" t="s">
        <v>44</v>
      </c>
      <c r="C31" s="75" t="s">
        <v>45</v>
      </c>
      <c r="D31" s="94">
        <v>2</v>
      </c>
      <c r="E31" s="73" t="str">
        <f t="shared" si="2"/>
        <v/>
      </c>
      <c r="F31" s="95" t="str">
        <f t="shared" si="3"/>
        <v/>
      </c>
      <c r="G31" s="99" t="str">
        <f>IF(AND(Proses!$G31&lt;&gt;"",Proses!$H31&lt;&gt;"",Proses!$I31&lt;&gt;"",Proses!$J31&lt;&gt;""),Proses!G31,"")</f>
        <v/>
      </c>
      <c r="H31" s="97" t="str">
        <f>IF(AND(Proses!$G31&lt;&gt;"",Proses!$H31&lt;&gt;"",Proses!$I31&lt;&gt;"",Proses!$J31&lt;&gt;""),Proses!H31,"")</f>
        <v/>
      </c>
      <c r="I31" s="96" t="str">
        <f>IF(AND(Proses!$G31&lt;&gt;"",Proses!$H31&lt;&gt;"",Proses!$I31&lt;&gt;"",Proses!$J31&lt;&gt;""),Proses!I31,"")</f>
        <v/>
      </c>
      <c r="J31" s="96" t="str">
        <f>IF(AND(Proses!$G31&lt;&gt;"",Proses!$H31&lt;&gt;"",Proses!$I31&lt;&gt;"",Proses!$J31&lt;&gt;""),Proses!J31,"")</f>
        <v/>
      </c>
    </row>
    <row r="32" spans="1:10" x14ac:dyDescent="0.25">
      <c r="A32" s="114" t="s">
        <v>27</v>
      </c>
      <c r="B32" s="115"/>
      <c r="C32" s="116"/>
      <c r="D32" s="23">
        <f>SUM(D23:D31)</f>
        <v>18</v>
      </c>
      <c r="E32" s="43">
        <f>IF(Proses!E32 &lt;&gt;"",Proses!E32,"")</f>
        <v>11</v>
      </c>
      <c r="F32" s="101" t="str">
        <f>IF(Proses!F32 &lt;&gt;"",Proses!F32,"")</f>
        <v/>
      </c>
      <c r="G32" s="100" t="str">
        <f>IF(Proses!G32 &lt;&gt;"",Proses!G32,"")</f>
        <v/>
      </c>
      <c r="H32" s="44" t="str">
        <f>IF(Proses!H32 &lt;&gt;"",Proses!H32,"")</f>
        <v/>
      </c>
      <c r="I32" s="43" t="str">
        <f>IF(Proses!I32 &lt;&gt;"",Proses!I32,"")</f>
        <v/>
      </c>
      <c r="J32" s="43" t="str">
        <f>IF(Proses!J32 &lt;&gt;"",Proses!J32,"")</f>
        <v/>
      </c>
    </row>
    <row r="33" spans="1:10" x14ac:dyDescent="0.25">
      <c r="A33" s="6" t="s">
        <v>46</v>
      </c>
      <c r="B33" s="6"/>
      <c r="C33" s="6"/>
      <c r="D33" s="17"/>
      <c r="E33" s="43" t="str">
        <f>IF(Proses!E33 &lt;&gt;"",Proses!E33,"")</f>
        <v/>
      </c>
      <c r="F33" s="101" t="str">
        <f>IF(Proses!F33 &lt;&gt;"",Proses!F33,"")</f>
        <v/>
      </c>
      <c r="G33" s="100" t="str">
        <f>IF(Proses!G33 &lt;&gt;"",Proses!G33,"")</f>
        <v/>
      </c>
      <c r="H33" s="44" t="str">
        <f>IF(Proses!H33 &lt;&gt;"",Proses!H33,"")</f>
        <v/>
      </c>
      <c r="I33" s="43" t="str">
        <f>IF(Proses!I33 &lt;&gt;"",Proses!I33,"")</f>
        <v/>
      </c>
      <c r="J33" s="43" t="str">
        <f>IF(Proses!J33 &lt;&gt;"",Proses!J33,"")</f>
        <v/>
      </c>
    </row>
    <row r="34" spans="1:10" x14ac:dyDescent="0.25">
      <c r="A34" s="93">
        <v>1</v>
      </c>
      <c r="B34" s="94" t="s">
        <v>35</v>
      </c>
      <c r="C34" s="71" t="s">
        <v>48</v>
      </c>
      <c r="D34" s="94">
        <v>2</v>
      </c>
      <c r="E34" s="73">
        <f t="shared" ref="E34:E40" si="4">IF(AND($G34&lt;&gt;"",$H34&lt;&gt;"",$I34&lt;&gt;"",$J34&lt;&gt;""),$D34,"")</f>
        <v>2</v>
      </c>
      <c r="F34" s="95" t="str">
        <f t="shared" ref="F34:F40" si="5">IF(AND($G34&lt;&gt;"",$H34&lt;&gt;"",$I34&lt;&gt;"",$J34&lt;&gt;""),$J34,"")</f>
        <v>BC</v>
      </c>
      <c r="G34" s="99" t="str">
        <f>IF(AND(Proses!$G34&lt;&gt;"",Proses!$H34&lt;&gt;"",Proses!$I34&lt;&gt;"",Proses!$J34&lt;&gt;""),Proses!G34,"")</f>
        <v>SI0209</v>
      </c>
      <c r="H34" s="97" t="str">
        <f>IF(AND(Proses!$G34&lt;&gt;"",Proses!$H34&lt;&gt;"",Proses!$I34&lt;&gt;"",Proses!$J34&lt;&gt;""),Proses!H34,"")</f>
        <v xml:space="preserve">Jaringan Komputer </v>
      </c>
      <c r="I34" s="96">
        <f>IF(AND(Proses!$G34&lt;&gt;"",Proses!$H34&lt;&gt;"",Proses!$I34&lt;&gt;"",Proses!$J34&lt;&gt;""),Proses!I34,"")</f>
        <v>2</v>
      </c>
      <c r="J34" s="96" t="str">
        <f>IF(AND(Proses!$G34&lt;&gt;"",Proses!$H34&lt;&gt;"",Proses!$I34&lt;&gt;"",Proses!$J34&lt;&gt;""),Proses!J34,"")</f>
        <v>BC</v>
      </c>
    </row>
    <row r="35" spans="1:10" x14ac:dyDescent="0.25">
      <c r="A35" s="93">
        <v>2</v>
      </c>
      <c r="B35" s="94" t="s">
        <v>49</v>
      </c>
      <c r="C35" s="71" t="s">
        <v>50</v>
      </c>
      <c r="D35" s="94">
        <v>1</v>
      </c>
      <c r="E35" s="73">
        <f t="shared" si="4"/>
        <v>1</v>
      </c>
      <c r="F35" s="95" t="str">
        <f t="shared" si="5"/>
        <v>AB</v>
      </c>
      <c r="G35" s="99" t="str">
        <f>IF(AND(Proses!$G35&lt;&gt;"",Proses!$H35&lt;&gt;"",Proses!$I35&lt;&gt;"",Proses!$J35&lt;&gt;""),Proses!G35,"")</f>
        <v>SI0305</v>
      </c>
      <c r="H35" s="97" t="str">
        <f>IF(AND(Proses!$G35&lt;&gt;"",Proses!$H35&lt;&gt;"",Proses!$I35&lt;&gt;"",Proses!$J35&lt;&gt;""),Proses!H35,"")</f>
        <v xml:space="preserve">Praktikum Jaringan Komputer </v>
      </c>
      <c r="I35" s="96">
        <f>IF(AND(Proses!$G35&lt;&gt;"",Proses!$H35&lt;&gt;"",Proses!$I35&lt;&gt;"",Proses!$J35&lt;&gt;""),Proses!I35,"")</f>
        <v>1</v>
      </c>
      <c r="J35" s="96" t="str">
        <f>IF(AND(Proses!$G35&lt;&gt;"",Proses!$H35&lt;&gt;"",Proses!$I35&lt;&gt;"",Proses!$J35&lt;&gt;""),Proses!J35,"")</f>
        <v>AB</v>
      </c>
    </row>
    <row r="36" spans="1:10" x14ac:dyDescent="0.25">
      <c r="A36" s="93">
        <v>3</v>
      </c>
      <c r="B36" s="94" t="s">
        <v>51</v>
      </c>
      <c r="C36" s="71" t="s">
        <v>52</v>
      </c>
      <c r="D36" s="94">
        <v>4</v>
      </c>
      <c r="E36" s="73">
        <f t="shared" si="4"/>
        <v>4</v>
      </c>
      <c r="F36" s="95" t="str">
        <f t="shared" si="5"/>
        <v>BC</v>
      </c>
      <c r="G36" s="99" t="str">
        <f>IF(AND(Proses!$G36&lt;&gt;"",Proses!$H36&lt;&gt;"",Proses!$I36&lt;&gt;"",Proses!$J36&lt;&gt;""),Proses!G36,"")</f>
        <v>SI0306</v>
      </c>
      <c r="H36" s="97" t="str">
        <f>IF(AND(Proses!$G36&lt;&gt;"",Proses!$H36&lt;&gt;"",Proses!$I36&lt;&gt;"",Proses!$J36&lt;&gt;""),Proses!H36,"")</f>
        <v>Perancangan Web</v>
      </c>
      <c r="I36" s="96">
        <f>IF(AND(Proses!$G36&lt;&gt;"",Proses!$H36&lt;&gt;"",Proses!$I36&lt;&gt;"",Proses!$J36&lt;&gt;""),Proses!I36,"")</f>
        <v>4</v>
      </c>
      <c r="J36" s="96" t="str">
        <f>IF(AND(Proses!$G36&lt;&gt;"",Proses!$H36&lt;&gt;"",Proses!$I36&lt;&gt;"",Proses!$J36&lt;&gt;""),Proses!J36,"")</f>
        <v>BC</v>
      </c>
    </row>
    <row r="37" spans="1:10" x14ac:dyDescent="0.25">
      <c r="A37" s="93">
        <v>4</v>
      </c>
      <c r="B37" s="94" t="s">
        <v>146</v>
      </c>
      <c r="C37" s="71" t="s">
        <v>53</v>
      </c>
      <c r="D37" s="94">
        <v>4</v>
      </c>
      <c r="E37" s="73" t="str">
        <f t="shared" si="4"/>
        <v/>
      </c>
      <c r="F37" s="95" t="str">
        <f t="shared" si="5"/>
        <v/>
      </c>
      <c r="G37" s="99" t="str">
        <f>IF(AND(Proses!$G37&lt;&gt;"",Proses!$H37&lt;&gt;"",Proses!$I37&lt;&gt;"",Proses!$J37&lt;&gt;""),Proses!G37,"")</f>
        <v/>
      </c>
      <c r="H37" s="97" t="str">
        <f>IF(AND(Proses!$G37&lt;&gt;"",Proses!$H37&lt;&gt;"",Proses!$I37&lt;&gt;"",Proses!$J37&lt;&gt;""),Proses!H37,"")</f>
        <v/>
      </c>
      <c r="I37" s="96" t="str">
        <f>IF(AND(Proses!$G37&lt;&gt;"",Proses!$H37&lt;&gt;"",Proses!$I37&lt;&gt;"",Proses!$J37&lt;&gt;""),Proses!I37,"")</f>
        <v/>
      </c>
      <c r="J37" s="96" t="str">
        <f>IF(AND(Proses!$G37&lt;&gt;"",Proses!$H37&lt;&gt;"",Proses!$I37&lt;&gt;"",Proses!$J37&lt;&gt;""),Proses!J37,"")</f>
        <v/>
      </c>
    </row>
    <row r="38" spans="1:10" x14ac:dyDescent="0.25">
      <c r="A38" s="93">
        <v>5</v>
      </c>
      <c r="B38" s="94" t="s">
        <v>54</v>
      </c>
      <c r="C38" s="71" t="s">
        <v>55</v>
      </c>
      <c r="D38" s="94">
        <v>4</v>
      </c>
      <c r="E38" s="73" t="str">
        <f t="shared" si="4"/>
        <v/>
      </c>
      <c r="F38" s="95" t="str">
        <f t="shared" si="5"/>
        <v/>
      </c>
      <c r="G38" s="99" t="str">
        <f>IF(AND(Proses!$G38&lt;&gt;"",Proses!$H38&lt;&gt;"",Proses!$I38&lt;&gt;"",Proses!$J38&lt;&gt;""),Proses!G38,"")</f>
        <v/>
      </c>
      <c r="H38" s="97" t="str">
        <f>IF(AND(Proses!$G38&lt;&gt;"",Proses!$H38&lt;&gt;"",Proses!$I38&lt;&gt;"",Proses!$J38&lt;&gt;""),Proses!H38,"")</f>
        <v/>
      </c>
      <c r="I38" s="96" t="str">
        <f>IF(AND(Proses!$G38&lt;&gt;"",Proses!$H38&lt;&gt;"",Proses!$I38&lt;&gt;"",Proses!$J38&lt;&gt;""),Proses!I38,"")</f>
        <v/>
      </c>
      <c r="J38" s="96" t="str">
        <f>IF(AND(Proses!$G38&lt;&gt;"",Proses!$H38&lt;&gt;"",Proses!$I38&lt;&gt;"",Proses!$J38&lt;&gt;""),Proses!J38,"")</f>
        <v/>
      </c>
    </row>
    <row r="39" spans="1:10" x14ac:dyDescent="0.25">
      <c r="A39" s="93">
        <v>6</v>
      </c>
      <c r="B39" s="94" t="s">
        <v>75</v>
      </c>
      <c r="C39" s="71" t="s">
        <v>56</v>
      </c>
      <c r="D39" s="94">
        <v>2</v>
      </c>
      <c r="E39" s="73" t="str">
        <f t="shared" si="4"/>
        <v/>
      </c>
      <c r="F39" s="95" t="str">
        <f t="shared" si="5"/>
        <v/>
      </c>
      <c r="G39" s="99" t="str">
        <f>IF(AND(Proses!$G39&lt;&gt;"",Proses!$H39&lt;&gt;"",Proses!$I39&lt;&gt;"",Proses!$J39&lt;&gt;""),Proses!G39,"")</f>
        <v/>
      </c>
      <c r="H39" s="97" t="str">
        <f>IF(AND(Proses!$G39&lt;&gt;"",Proses!$H39&lt;&gt;"",Proses!$I39&lt;&gt;"",Proses!$J39&lt;&gt;""),Proses!H39,"")</f>
        <v/>
      </c>
      <c r="I39" s="96" t="str">
        <f>IF(AND(Proses!$G39&lt;&gt;"",Proses!$H39&lt;&gt;"",Proses!$I39&lt;&gt;"",Proses!$J39&lt;&gt;""),Proses!I39,"")</f>
        <v/>
      </c>
      <c r="J39" s="96" t="str">
        <f>IF(AND(Proses!$G39&lt;&gt;"",Proses!$H39&lt;&gt;"",Proses!$I39&lt;&gt;"",Proses!$J39&lt;&gt;""),Proses!J39,"")</f>
        <v/>
      </c>
    </row>
    <row r="40" spans="1:10" x14ac:dyDescent="0.25">
      <c r="A40" s="93">
        <v>7</v>
      </c>
      <c r="B40" s="94" t="s">
        <v>147</v>
      </c>
      <c r="C40" s="71" t="s">
        <v>57</v>
      </c>
      <c r="D40" s="94">
        <v>2</v>
      </c>
      <c r="E40" s="73" t="str">
        <f t="shared" si="4"/>
        <v/>
      </c>
      <c r="F40" s="95" t="str">
        <f t="shared" si="5"/>
        <v/>
      </c>
      <c r="G40" s="99" t="str">
        <f>IF(AND(Proses!$G40&lt;&gt;"",Proses!$H40&lt;&gt;"",Proses!$I40&lt;&gt;"",Proses!$J40&lt;&gt;""),Proses!G40,"")</f>
        <v/>
      </c>
      <c r="H40" s="97" t="str">
        <f>IF(AND(Proses!$G40&lt;&gt;"",Proses!$H40&lt;&gt;"",Proses!$I40&lt;&gt;"",Proses!$J40&lt;&gt;""),Proses!H40,"")</f>
        <v/>
      </c>
      <c r="I40" s="96" t="str">
        <f>IF(AND(Proses!$G40&lt;&gt;"",Proses!$H40&lt;&gt;"",Proses!$I40&lt;&gt;"",Proses!$J40&lt;&gt;""),Proses!I40,"")</f>
        <v/>
      </c>
      <c r="J40" s="96" t="str">
        <f>IF(AND(Proses!$G40&lt;&gt;"",Proses!$H40&lt;&gt;"",Proses!$I40&lt;&gt;"",Proses!$J40&lt;&gt;""),Proses!J40,"")</f>
        <v/>
      </c>
    </row>
    <row r="41" spans="1:10" x14ac:dyDescent="0.25">
      <c r="A41" s="114" t="s">
        <v>27</v>
      </c>
      <c r="B41" s="115"/>
      <c r="C41" s="116"/>
      <c r="D41" s="23">
        <f>SUM(D34:D40)</f>
        <v>19</v>
      </c>
      <c r="E41" s="43">
        <f>IF(Proses!E41 &lt;&gt;"",Proses!E41,"")</f>
        <v>7</v>
      </c>
      <c r="F41" s="101" t="str">
        <f>IF(Proses!F41 &lt;&gt;"",Proses!F41,"")</f>
        <v/>
      </c>
      <c r="G41" s="100" t="str">
        <f>IF(Proses!G41 &lt;&gt;"",Proses!G41,"")</f>
        <v/>
      </c>
      <c r="H41" s="44" t="str">
        <f>IF(Proses!H41 &lt;&gt;"",Proses!H41,"")</f>
        <v/>
      </c>
      <c r="I41" s="43" t="str">
        <f>IF(Proses!I41 &lt;&gt;"",Proses!I41,"")</f>
        <v/>
      </c>
      <c r="J41" s="43" t="str">
        <f>IF(Proses!J41 &lt;&gt;"",Proses!J41,"")</f>
        <v/>
      </c>
    </row>
    <row r="42" spans="1:10" x14ac:dyDescent="0.25">
      <c r="A42" s="6" t="s">
        <v>58</v>
      </c>
      <c r="B42" s="6"/>
      <c r="C42" s="6"/>
      <c r="D42" s="17"/>
      <c r="E42" s="43" t="str">
        <f>IF(Proses!E42 &lt;&gt;"",Proses!E42,"")</f>
        <v/>
      </c>
      <c r="F42" s="101" t="str">
        <f>IF(Proses!F42 &lt;&gt;"",Proses!F42,"")</f>
        <v/>
      </c>
      <c r="G42" s="100" t="str">
        <f>IF(Proses!G42 &lt;&gt;"",Proses!G42,"")</f>
        <v/>
      </c>
      <c r="H42" s="44" t="str">
        <f>IF(Proses!H42 &lt;&gt;"",Proses!H42,"")</f>
        <v/>
      </c>
      <c r="I42" s="43" t="str">
        <f>IF(Proses!I42 &lt;&gt;"",Proses!I42,"")</f>
        <v/>
      </c>
      <c r="J42" s="43" t="str">
        <f>IF(Proses!J42 &lt;&gt;"",Proses!J42,"")</f>
        <v/>
      </c>
    </row>
    <row r="43" spans="1:10" x14ac:dyDescent="0.25">
      <c r="A43" s="93">
        <v>1</v>
      </c>
      <c r="B43" s="94" t="s">
        <v>148</v>
      </c>
      <c r="C43" s="71" t="s">
        <v>60</v>
      </c>
      <c r="D43" s="94">
        <v>2</v>
      </c>
      <c r="E43" s="73" t="str">
        <f t="shared" ref="E43:E49" si="6">IF(AND($G43&lt;&gt;"",$H43&lt;&gt;"",$I43&lt;&gt;"",$J43&lt;&gt;""),$D43,"")</f>
        <v/>
      </c>
      <c r="F43" s="95" t="str">
        <f t="shared" ref="F43:F49" si="7">IF(AND($G43&lt;&gt;"",$H43&lt;&gt;"",$I43&lt;&gt;"",$J43&lt;&gt;""),$J43,"")</f>
        <v/>
      </c>
      <c r="G43" s="99" t="str">
        <f>IF(AND(Proses!$G43&lt;&gt;"",Proses!$H43&lt;&gt;"",Proses!$I43&lt;&gt;"",Proses!$J43&lt;&gt;""),Proses!G43,"")</f>
        <v/>
      </c>
      <c r="H43" s="97" t="str">
        <f>IF(AND(Proses!$G43&lt;&gt;"",Proses!$H43&lt;&gt;"",Proses!$I43&lt;&gt;"",Proses!$J43&lt;&gt;""),Proses!H43,"")</f>
        <v/>
      </c>
      <c r="I43" s="96" t="str">
        <f>IF(AND(Proses!$G43&lt;&gt;"",Proses!$H43&lt;&gt;"",Proses!$I43&lt;&gt;"",Proses!$J43&lt;&gt;""),Proses!I43,"")</f>
        <v/>
      </c>
      <c r="J43" s="96" t="str">
        <f>IF(AND(Proses!$G43&lt;&gt;"",Proses!$H43&lt;&gt;"",Proses!$I43&lt;&gt;"",Proses!$J43&lt;&gt;""),Proses!J43,"")</f>
        <v/>
      </c>
    </row>
    <row r="44" spans="1:10" x14ac:dyDescent="0.25">
      <c r="A44" s="93">
        <v>2</v>
      </c>
      <c r="B44" s="94" t="s">
        <v>61</v>
      </c>
      <c r="C44" s="75" t="s">
        <v>62</v>
      </c>
      <c r="D44" s="94">
        <v>2</v>
      </c>
      <c r="E44" s="73" t="str">
        <f t="shared" si="6"/>
        <v/>
      </c>
      <c r="F44" s="95" t="str">
        <f t="shared" si="7"/>
        <v/>
      </c>
      <c r="G44" s="99" t="str">
        <f>IF(AND(Proses!$G44&lt;&gt;"",Proses!$H44&lt;&gt;"",Proses!$I44&lt;&gt;"",Proses!$J44&lt;&gt;""),Proses!G44,"")</f>
        <v/>
      </c>
      <c r="H44" s="97" t="str">
        <f>IF(AND(Proses!$G44&lt;&gt;"",Proses!$H44&lt;&gt;"",Proses!$I44&lt;&gt;"",Proses!$J44&lt;&gt;""),Proses!H44,"")</f>
        <v/>
      </c>
      <c r="I44" s="96" t="str">
        <f>IF(AND(Proses!$G44&lt;&gt;"",Proses!$H44&lt;&gt;"",Proses!$I44&lt;&gt;"",Proses!$J44&lt;&gt;""),Proses!I44,"")</f>
        <v/>
      </c>
      <c r="J44" s="96" t="str">
        <f>IF(AND(Proses!$G44&lt;&gt;"",Proses!$H44&lt;&gt;"",Proses!$I44&lt;&gt;"",Proses!$J44&lt;&gt;""),Proses!J44,"")</f>
        <v/>
      </c>
    </row>
    <row r="45" spans="1:10" x14ac:dyDescent="0.25">
      <c r="A45" s="93">
        <v>3</v>
      </c>
      <c r="B45" s="94" t="s">
        <v>149</v>
      </c>
      <c r="C45" s="75" t="s">
        <v>64</v>
      </c>
      <c r="D45" s="94">
        <v>2</v>
      </c>
      <c r="E45" s="73" t="str">
        <f t="shared" si="6"/>
        <v/>
      </c>
      <c r="F45" s="95" t="str">
        <f t="shared" si="7"/>
        <v/>
      </c>
      <c r="G45" s="99" t="str">
        <f>IF(AND(Proses!$G45&lt;&gt;"",Proses!$H45&lt;&gt;"",Proses!$I45&lt;&gt;"",Proses!$J45&lt;&gt;""),Proses!G45,"")</f>
        <v/>
      </c>
      <c r="H45" s="97" t="str">
        <f>IF(AND(Proses!$G45&lt;&gt;"",Proses!$H45&lt;&gt;"",Proses!$I45&lt;&gt;"",Proses!$J45&lt;&gt;""),Proses!H45,"")</f>
        <v/>
      </c>
      <c r="I45" s="96" t="str">
        <f>IF(AND(Proses!$G45&lt;&gt;"",Proses!$H45&lt;&gt;"",Proses!$I45&lt;&gt;"",Proses!$J45&lt;&gt;""),Proses!I45,"")</f>
        <v/>
      </c>
      <c r="J45" s="96" t="str">
        <f>IF(AND(Proses!$G45&lt;&gt;"",Proses!$H45&lt;&gt;"",Proses!$I45&lt;&gt;"",Proses!$J45&lt;&gt;""),Proses!J45,"")</f>
        <v/>
      </c>
    </row>
    <row r="46" spans="1:10" x14ac:dyDescent="0.25">
      <c r="A46" s="93">
        <v>4</v>
      </c>
      <c r="B46" s="94" t="s">
        <v>65</v>
      </c>
      <c r="C46" s="71" t="s">
        <v>66</v>
      </c>
      <c r="D46" s="94">
        <v>2</v>
      </c>
      <c r="E46" s="73" t="str">
        <f t="shared" si="6"/>
        <v/>
      </c>
      <c r="F46" s="95" t="str">
        <f t="shared" si="7"/>
        <v/>
      </c>
      <c r="G46" s="99" t="str">
        <f>IF(AND(Proses!$G46&lt;&gt;"",Proses!$H46&lt;&gt;"",Proses!$I46&lt;&gt;"",Proses!$J46&lt;&gt;""),Proses!G46,"")</f>
        <v/>
      </c>
      <c r="H46" s="97" t="str">
        <f>IF(AND(Proses!$G46&lt;&gt;"",Proses!$H46&lt;&gt;"",Proses!$I46&lt;&gt;"",Proses!$J46&lt;&gt;""),Proses!H46,"")</f>
        <v/>
      </c>
      <c r="I46" s="96" t="str">
        <f>IF(AND(Proses!$G46&lt;&gt;"",Proses!$H46&lt;&gt;"",Proses!$I46&lt;&gt;"",Proses!$J46&lt;&gt;""),Proses!I46,"")</f>
        <v/>
      </c>
      <c r="J46" s="96" t="str">
        <f>IF(AND(Proses!$G46&lt;&gt;"",Proses!$H46&lt;&gt;"",Proses!$I46&lt;&gt;"",Proses!$J46&lt;&gt;""),Proses!J46,"")</f>
        <v/>
      </c>
    </row>
    <row r="47" spans="1:10" x14ac:dyDescent="0.25">
      <c r="A47" s="93">
        <v>5</v>
      </c>
      <c r="B47" s="94" t="s">
        <v>67</v>
      </c>
      <c r="C47" s="71" t="s">
        <v>68</v>
      </c>
      <c r="D47" s="94">
        <v>4</v>
      </c>
      <c r="E47" s="73" t="str">
        <f t="shared" si="6"/>
        <v/>
      </c>
      <c r="F47" s="95" t="str">
        <f t="shared" si="7"/>
        <v/>
      </c>
      <c r="G47" s="99" t="str">
        <f>IF(AND(Proses!$G47&lt;&gt;"",Proses!$H47&lt;&gt;"",Proses!$I47&lt;&gt;"",Proses!$J47&lt;&gt;""),Proses!G47,"")</f>
        <v/>
      </c>
      <c r="H47" s="97" t="str">
        <f>IF(AND(Proses!$G47&lt;&gt;"",Proses!$H47&lt;&gt;"",Proses!$I47&lt;&gt;"",Proses!$J47&lt;&gt;""),Proses!H47,"")</f>
        <v/>
      </c>
      <c r="I47" s="96" t="str">
        <f>IF(AND(Proses!$G47&lt;&gt;"",Proses!$H47&lt;&gt;"",Proses!$I47&lt;&gt;"",Proses!$J47&lt;&gt;""),Proses!I47,"")</f>
        <v/>
      </c>
      <c r="J47" s="96" t="str">
        <f>IF(AND(Proses!$G47&lt;&gt;"",Proses!$H47&lt;&gt;"",Proses!$I47&lt;&gt;"",Proses!$J47&lt;&gt;""),Proses!J47,"")</f>
        <v/>
      </c>
    </row>
    <row r="48" spans="1:10" x14ac:dyDescent="0.25">
      <c r="A48" s="93">
        <v>6</v>
      </c>
      <c r="B48" s="94" t="s">
        <v>47</v>
      </c>
      <c r="C48" s="71" t="s">
        <v>69</v>
      </c>
      <c r="D48" s="94">
        <v>4</v>
      </c>
      <c r="E48" s="73" t="str">
        <f t="shared" si="6"/>
        <v/>
      </c>
      <c r="F48" s="95" t="str">
        <f t="shared" si="7"/>
        <v/>
      </c>
      <c r="G48" s="99" t="str">
        <f>IF(AND(Proses!$G48&lt;&gt;"",Proses!$H48&lt;&gt;"",Proses!$I48&lt;&gt;"",Proses!$J48&lt;&gt;""),Proses!G48,"")</f>
        <v/>
      </c>
      <c r="H48" s="97" t="str">
        <f>IF(AND(Proses!$G48&lt;&gt;"",Proses!$H48&lt;&gt;"",Proses!$I48&lt;&gt;"",Proses!$J48&lt;&gt;""),Proses!H48,"")</f>
        <v/>
      </c>
      <c r="I48" s="96" t="str">
        <f>IF(AND(Proses!$G48&lt;&gt;"",Proses!$H48&lt;&gt;"",Proses!$I48&lt;&gt;"",Proses!$J48&lt;&gt;""),Proses!I48,"")</f>
        <v/>
      </c>
      <c r="J48" s="96" t="str">
        <f>IF(AND(Proses!$G48&lt;&gt;"",Proses!$H48&lt;&gt;"",Proses!$I48&lt;&gt;"",Proses!$J48&lt;&gt;""),Proses!J48,"")</f>
        <v/>
      </c>
    </row>
    <row r="49" spans="1:10" x14ac:dyDescent="0.25">
      <c r="A49" s="93">
        <v>7</v>
      </c>
      <c r="B49" s="94" t="s">
        <v>63</v>
      </c>
      <c r="C49" s="75" t="s">
        <v>70</v>
      </c>
      <c r="D49" s="94">
        <v>4</v>
      </c>
      <c r="E49" s="73" t="str">
        <f t="shared" si="6"/>
        <v/>
      </c>
      <c r="F49" s="95" t="str">
        <f t="shared" si="7"/>
        <v/>
      </c>
      <c r="G49" s="99" t="str">
        <f>IF(AND(Proses!$G49&lt;&gt;"",Proses!$H49&lt;&gt;"",Proses!$I49&lt;&gt;"",Proses!$J49&lt;&gt;""),Proses!G49,"")</f>
        <v/>
      </c>
      <c r="H49" s="97" t="str">
        <f>IF(AND(Proses!$G49&lt;&gt;"",Proses!$H49&lt;&gt;"",Proses!$I49&lt;&gt;"",Proses!$J49&lt;&gt;""),Proses!H49,"")</f>
        <v/>
      </c>
      <c r="I49" s="96" t="str">
        <f>IF(AND(Proses!$G49&lt;&gt;"",Proses!$H49&lt;&gt;"",Proses!$I49&lt;&gt;"",Proses!$J49&lt;&gt;""),Proses!I49,"")</f>
        <v/>
      </c>
      <c r="J49" s="96" t="str">
        <f>IF(AND(Proses!$G49&lt;&gt;"",Proses!$H49&lt;&gt;"",Proses!$I49&lt;&gt;"",Proses!$J49&lt;&gt;""),Proses!J49,"")</f>
        <v/>
      </c>
    </row>
    <row r="50" spans="1:10" x14ac:dyDescent="0.25">
      <c r="A50" s="114" t="s">
        <v>27</v>
      </c>
      <c r="B50" s="115"/>
      <c r="C50" s="116"/>
      <c r="D50" s="34">
        <f>SUM(D43:D49)</f>
        <v>20</v>
      </c>
      <c r="E50" s="43">
        <f>IF(Proses!E50 &lt;&gt;"",Proses!E50,"")</f>
        <v>0</v>
      </c>
      <c r="F50" s="101" t="str">
        <f>IF(Proses!F50 &lt;&gt;"",Proses!F50,"")</f>
        <v/>
      </c>
      <c r="G50" s="100" t="str">
        <f>IF(Proses!G50 &lt;&gt;"",Proses!G50,"")</f>
        <v/>
      </c>
      <c r="H50" s="44" t="str">
        <f>IF(Proses!H50 &lt;&gt;"",Proses!H50,"")</f>
        <v/>
      </c>
      <c r="I50" s="43" t="str">
        <f>IF(Proses!I50 &lt;&gt;"",Proses!I50,"")</f>
        <v/>
      </c>
      <c r="J50" s="43" t="str">
        <f>IF(Proses!J50 &lt;&gt;"",Proses!J50,"")</f>
        <v/>
      </c>
    </row>
    <row r="51" spans="1:10" x14ac:dyDescent="0.25">
      <c r="A51" s="6" t="s">
        <v>71</v>
      </c>
      <c r="B51" s="6"/>
      <c r="C51" s="6"/>
      <c r="D51" s="17"/>
      <c r="E51" s="18"/>
      <c r="F51" s="69"/>
      <c r="G51" s="61"/>
      <c r="H51" s="45"/>
      <c r="I51" s="20"/>
      <c r="J51" s="20"/>
    </row>
    <row r="52" spans="1:10" x14ac:dyDescent="0.25">
      <c r="A52" s="93">
        <v>1</v>
      </c>
      <c r="B52" s="94" t="s">
        <v>150</v>
      </c>
      <c r="C52" s="75" t="s">
        <v>72</v>
      </c>
      <c r="D52" s="94">
        <v>2</v>
      </c>
      <c r="E52" s="73" t="str">
        <f t="shared" ref="E52:E58" si="8">IF(AND($G52&lt;&gt;"",$H52&lt;&gt;"",$I52&lt;&gt;"",$J52&lt;&gt;""),$D52,"")</f>
        <v/>
      </c>
      <c r="F52" s="95" t="str">
        <f t="shared" ref="F52:F58" si="9">IF(AND($G52&lt;&gt;"",$H52&lt;&gt;"",$I52&lt;&gt;"",$J52&lt;&gt;""),$J52,"")</f>
        <v/>
      </c>
      <c r="G52" s="99" t="str">
        <f>IF(AND(Proses!$G52&lt;&gt;"",Proses!$H52&lt;&gt;"",Proses!$I52&lt;&gt;"",Proses!$J52&lt;&gt;""),Proses!G52,"")</f>
        <v/>
      </c>
      <c r="H52" s="97" t="str">
        <f>IF(AND(Proses!$G52&lt;&gt;"",Proses!$H52&lt;&gt;"",Proses!$I52&lt;&gt;"",Proses!$J52&lt;&gt;""),Proses!H52,"")</f>
        <v/>
      </c>
      <c r="I52" s="96" t="str">
        <f>IF(AND(Proses!$G52&lt;&gt;"",Proses!$H52&lt;&gt;"",Proses!$I52&lt;&gt;"",Proses!$J52&lt;&gt;""),Proses!I52,"")</f>
        <v/>
      </c>
      <c r="J52" s="96" t="str">
        <f>IF(AND(Proses!$G52&lt;&gt;"",Proses!$H52&lt;&gt;"",Proses!$I52&lt;&gt;"",Proses!$J52&lt;&gt;""),Proses!J52,"")</f>
        <v/>
      </c>
    </row>
    <row r="53" spans="1:10" x14ac:dyDescent="0.25">
      <c r="A53" s="93">
        <v>2</v>
      </c>
      <c r="B53" s="94" t="s">
        <v>86</v>
      </c>
      <c r="C53" s="98" t="s">
        <v>74</v>
      </c>
      <c r="D53" s="94">
        <v>4</v>
      </c>
      <c r="E53" s="73" t="str">
        <f t="shared" si="8"/>
        <v/>
      </c>
      <c r="F53" s="95" t="str">
        <f t="shared" si="9"/>
        <v/>
      </c>
      <c r="G53" s="99" t="str">
        <f>IF(AND(Proses!$G53&lt;&gt;"",Proses!$H53&lt;&gt;"",Proses!$I53&lt;&gt;"",Proses!$J53&lt;&gt;""),Proses!G53,"")</f>
        <v/>
      </c>
      <c r="H53" s="97" t="str">
        <f>IF(AND(Proses!$G53&lt;&gt;"",Proses!$H53&lt;&gt;"",Proses!$I53&lt;&gt;"",Proses!$J53&lt;&gt;""),Proses!H53,"")</f>
        <v/>
      </c>
      <c r="I53" s="96" t="str">
        <f>IF(AND(Proses!$G53&lt;&gt;"",Proses!$H53&lt;&gt;"",Proses!$I53&lt;&gt;"",Proses!$J53&lt;&gt;""),Proses!I53,"")</f>
        <v/>
      </c>
      <c r="J53" s="96" t="str">
        <f>IF(AND(Proses!$G53&lt;&gt;"",Proses!$H53&lt;&gt;"",Proses!$I53&lt;&gt;"",Proses!$J53&lt;&gt;""),Proses!J53,"")</f>
        <v/>
      </c>
    </row>
    <row r="54" spans="1:10" x14ac:dyDescent="0.25">
      <c r="A54" s="93">
        <v>3</v>
      </c>
      <c r="B54" s="94" t="s">
        <v>151</v>
      </c>
      <c r="C54" s="71" t="s">
        <v>76</v>
      </c>
      <c r="D54" s="94">
        <v>4</v>
      </c>
      <c r="E54" s="73" t="str">
        <f t="shared" si="8"/>
        <v/>
      </c>
      <c r="F54" s="95" t="str">
        <f t="shared" si="9"/>
        <v/>
      </c>
      <c r="G54" s="99" t="str">
        <f>IF(AND(Proses!$G54&lt;&gt;"",Proses!$H54&lt;&gt;"",Proses!$I54&lt;&gt;"",Proses!$J54&lt;&gt;""),Proses!G54,"")</f>
        <v/>
      </c>
      <c r="H54" s="97" t="str">
        <f>IF(AND(Proses!$G54&lt;&gt;"",Proses!$H54&lt;&gt;"",Proses!$I54&lt;&gt;"",Proses!$J54&lt;&gt;""),Proses!H54,"")</f>
        <v/>
      </c>
      <c r="I54" s="96" t="str">
        <f>IF(AND(Proses!$G54&lt;&gt;"",Proses!$H54&lt;&gt;"",Proses!$I54&lt;&gt;"",Proses!$J54&lt;&gt;""),Proses!I54,"")</f>
        <v/>
      </c>
      <c r="J54" s="96" t="str">
        <f>IF(AND(Proses!$G54&lt;&gt;"",Proses!$H54&lt;&gt;"",Proses!$I54&lt;&gt;"",Proses!$J54&lt;&gt;""),Proses!J54,"")</f>
        <v/>
      </c>
    </row>
    <row r="55" spans="1:10" x14ac:dyDescent="0.25">
      <c r="A55" s="93">
        <v>4</v>
      </c>
      <c r="B55" s="94" t="s">
        <v>152</v>
      </c>
      <c r="C55" s="98" t="s">
        <v>77</v>
      </c>
      <c r="D55" s="94">
        <v>4</v>
      </c>
      <c r="E55" s="73" t="str">
        <f t="shared" si="8"/>
        <v/>
      </c>
      <c r="F55" s="95" t="str">
        <f t="shared" si="9"/>
        <v/>
      </c>
      <c r="G55" s="99" t="str">
        <f>IF(AND(Proses!$G55&lt;&gt;"",Proses!$H55&lt;&gt;"",Proses!$I55&lt;&gt;"",Proses!$J55&lt;&gt;""),Proses!G55,"")</f>
        <v/>
      </c>
      <c r="H55" s="97" t="str">
        <f>IF(AND(Proses!$G55&lt;&gt;"",Proses!$H55&lt;&gt;"",Proses!$I55&lt;&gt;"",Proses!$J55&lt;&gt;""),Proses!H55,"")</f>
        <v/>
      </c>
      <c r="I55" s="96" t="str">
        <f>IF(AND(Proses!$G55&lt;&gt;"",Proses!$H55&lt;&gt;"",Proses!$I55&lt;&gt;"",Proses!$J55&lt;&gt;""),Proses!I55,"")</f>
        <v/>
      </c>
      <c r="J55" s="96" t="str">
        <f>IF(AND(Proses!$G55&lt;&gt;"",Proses!$H55&lt;&gt;"",Proses!$I55&lt;&gt;"",Proses!$J55&lt;&gt;""),Proses!J55,"")</f>
        <v/>
      </c>
    </row>
    <row r="56" spans="1:10" x14ac:dyDescent="0.25">
      <c r="A56" s="93">
        <v>5</v>
      </c>
      <c r="B56" s="94" t="s">
        <v>59</v>
      </c>
      <c r="C56" s="75" t="s">
        <v>78</v>
      </c>
      <c r="D56" s="94">
        <v>2</v>
      </c>
      <c r="E56" s="73" t="str">
        <f t="shared" si="8"/>
        <v/>
      </c>
      <c r="F56" s="95" t="str">
        <f t="shared" si="9"/>
        <v/>
      </c>
      <c r="G56" s="99" t="str">
        <f>IF(AND(Proses!$G56&lt;&gt;"",Proses!$H56&lt;&gt;"",Proses!$I56&lt;&gt;"",Proses!$J56&lt;&gt;""),Proses!G56,"")</f>
        <v/>
      </c>
      <c r="H56" s="97" t="str">
        <f>IF(AND(Proses!$G56&lt;&gt;"",Proses!$H56&lt;&gt;"",Proses!$I56&lt;&gt;"",Proses!$J56&lt;&gt;""),Proses!H56,"")</f>
        <v/>
      </c>
      <c r="I56" s="96" t="str">
        <f>IF(AND(Proses!$G56&lt;&gt;"",Proses!$H56&lt;&gt;"",Proses!$I56&lt;&gt;"",Proses!$J56&lt;&gt;""),Proses!I56,"")</f>
        <v/>
      </c>
      <c r="J56" s="96" t="str">
        <f>IF(AND(Proses!$G56&lt;&gt;"",Proses!$H56&lt;&gt;"",Proses!$I56&lt;&gt;"",Proses!$J56&lt;&gt;""),Proses!J56,"")</f>
        <v/>
      </c>
    </row>
    <row r="57" spans="1:10" x14ac:dyDescent="0.25">
      <c r="A57" s="93">
        <v>6</v>
      </c>
      <c r="B57" s="94" t="s">
        <v>153</v>
      </c>
      <c r="C57" s="98" t="s">
        <v>79</v>
      </c>
      <c r="D57" s="94">
        <v>2</v>
      </c>
      <c r="E57" s="73" t="str">
        <f t="shared" si="8"/>
        <v/>
      </c>
      <c r="F57" s="95" t="str">
        <f t="shared" si="9"/>
        <v/>
      </c>
      <c r="G57" s="99" t="str">
        <f>IF(AND(Proses!$G57&lt;&gt;"",Proses!$H57&lt;&gt;"",Proses!$I57&lt;&gt;"",Proses!$J57&lt;&gt;""),Proses!G57,"")</f>
        <v/>
      </c>
      <c r="H57" s="97" t="str">
        <f>IF(AND(Proses!$G57&lt;&gt;"",Proses!$H57&lt;&gt;"",Proses!$I57&lt;&gt;"",Proses!$J57&lt;&gt;""),Proses!H57,"")</f>
        <v/>
      </c>
      <c r="I57" s="96" t="str">
        <f>IF(AND(Proses!$G57&lt;&gt;"",Proses!$H57&lt;&gt;"",Proses!$I57&lt;&gt;"",Proses!$J57&lt;&gt;""),Proses!I57,"")</f>
        <v/>
      </c>
      <c r="J57" s="96" t="str">
        <f>IF(AND(Proses!$G57&lt;&gt;"",Proses!$H57&lt;&gt;"",Proses!$I57&lt;&gt;"",Proses!$J57&lt;&gt;""),Proses!J57,"")</f>
        <v/>
      </c>
    </row>
    <row r="58" spans="1:10" x14ac:dyDescent="0.25">
      <c r="A58" s="93">
        <v>7</v>
      </c>
      <c r="B58" s="94" t="s">
        <v>154</v>
      </c>
      <c r="C58" s="75" t="s">
        <v>80</v>
      </c>
      <c r="D58" s="94">
        <v>2</v>
      </c>
      <c r="E58" s="73" t="str">
        <f t="shared" si="8"/>
        <v/>
      </c>
      <c r="F58" s="95" t="str">
        <f t="shared" si="9"/>
        <v/>
      </c>
      <c r="G58" s="99" t="str">
        <f>IF(AND(Proses!$G58&lt;&gt;"",Proses!$H58&lt;&gt;"",Proses!$I58&lt;&gt;"",Proses!$J58&lt;&gt;""),Proses!G58,"")</f>
        <v/>
      </c>
      <c r="H58" s="97" t="str">
        <f>IF(AND(Proses!$G58&lt;&gt;"",Proses!$H58&lt;&gt;"",Proses!$I58&lt;&gt;"",Proses!$J58&lt;&gt;""),Proses!H58,"")</f>
        <v/>
      </c>
      <c r="I58" s="96" t="str">
        <f>IF(AND(Proses!$G58&lt;&gt;"",Proses!$H58&lt;&gt;"",Proses!$I58&lt;&gt;"",Proses!$J58&lt;&gt;""),Proses!I58,"")</f>
        <v/>
      </c>
      <c r="J58" s="96" t="str">
        <f>IF(AND(Proses!$G58&lt;&gt;"",Proses!$H58&lt;&gt;"",Proses!$I58&lt;&gt;"",Proses!$J58&lt;&gt;""),Proses!J58,"")</f>
        <v/>
      </c>
    </row>
    <row r="59" spans="1:10" x14ac:dyDescent="0.25">
      <c r="A59" s="114" t="s">
        <v>27</v>
      </c>
      <c r="B59" s="115"/>
      <c r="C59" s="116"/>
      <c r="D59" s="23">
        <f>SUM(D52:D58)</f>
        <v>20</v>
      </c>
      <c r="E59" s="23">
        <f>SUM(E52:E58)</f>
        <v>0</v>
      </c>
      <c r="F59" s="67"/>
      <c r="G59" s="60"/>
      <c r="H59" s="46"/>
      <c r="I59" s="25"/>
      <c r="J59" s="25"/>
    </row>
    <row r="60" spans="1:10" x14ac:dyDescent="0.25">
      <c r="A60" s="6" t="s">
        <v>93</v>
      </c>
      <c r="B60" s="6"/>
      <c r="C60" s="6"/>
      <c r="D60" s="17"/>
      <c r="E60" s="18"/>
      <c r="F60" s="69"/>
      <c r="G60" s="61"/>
      <c r="H60" s="45"/>
      <c r="I60" s="20"/>
      <c r="J60" s="20"/>
    </row>
    <row r="61" spans="1:10" x14ac:dyDescent="0.25">
      <c r="A61" s="93">
        <v>1</v>
      </c>
      <c r="B61" s="94" t="s">
        <v>82</v>
      </c>
      <c r="C61" s="98" t="s">
        <v>94</v>
      </c>
      <c r="D61" s="94">
        <v>4</v>
      </c>
      <c r="E61" s="73" t="str">
        <f t="shared" ref="E61:E66" si="10">IF(AND($G61&lt;&gt;"",$H61&lt;&gt;"",$I61&lt;&gt;"",$J61&lt;&gt;""),$D61,"")</f>
        <v/>
      </c>
      <c r="F61" s="95" t="str">
        <f t="shared" ref="F61:F66" si="11">IF(AND($G61&lt;&gt;"",$H61&lt;&gt;"",$I61&lt;&gt;"",$J61&lt;&gt;""),$J61,"")</f>
        <v/>
      </c>
      <c r="G61" s="99" t="str">
        <f>IF(AND(Proses!$G79&lt;&gt;"",Proses!$H79&lt;&gt;"",Proses!$I79&lt;&gt;"",Proses!$J79&lt;&gt;""),Proses!G79,"")</f>
        <v/>
      </c>
      <c r="H61" s="97" t="str">
        <f>IF(AND(Proses!$G79&lt;&gt;"",Proses!$H79&lt;&gt;"",Proses!$I79&lt;&gt;"",Proses!$J79&lt;&gt;""),Proses!H79,"")</f>
        <v/>
      </c>
      <c r="I61" s="96" t="str">
        <f>IF(AND(Proses!$G79&lt;&gt;"",Proses!$H79&lt;&gt;"",Proses!$I79&lt;&gt;"",Proses!$J79&lt;&gt;""),Proses!I79,"")</f>
        <v/>
      </c>
      <c r="J61" s="96" t="str">
        <f>IF(AND(Proses!$G79&lt;&gt;"",Proses!$H79&lt;&gt;"",Proses!$I79&lt;&gt;"",Proses!$J79&lt;&gt;""),Proses!J79,"")</f>
        <v/>
      </c>
    </row>
    <row r="62" spans="1:10" x14ac:dyDescent="0.25">
      <c r="A62" s="93">
        <v>2</v>
      </c>
      <c r="B62" s="94" t="s">
        <v>84</v>
      </c>
      <c r="C62" s="98" t="s">
        <v>95</v>
      </c>
      <c r="D62" s="94">
        <v>4</v>
      </c>
      <c r="E62" s="73" t="str">
        <f t="shared" si="10"/>
        <v/>
      </c>
      <c r="F62" s="95" t="str">
        <f t="shared" si="11"/>
        <v/>
      </c>
      <c r="G62" s="99" t="str">
        <f>IF(AND(Proses!$G80&lt;&gt;"",Proses!$H80&lt;&gt;"",Proses!$I80&lt;&gt;"",Proses!$J80&lt;&gt;""),Proses!G80,"")</f>
        <v/>
      </c>
      <c r="H62" s="97" t="str">
        <f>IF(AND(Proses!$G80&lt;&gt;"",Proses!$H80&lt;&gt;"",Proses!$I80&lt;&gt;"",Proses!$J80&lt;&gt;""),Proses!H80,"")</f>
        <v/>
      </c>
      <c r="I62" s="96" t="str">
        <f>IF(AND(Proses!$G80&lt;&gt;"",Proses!$H80&lt;&gt;"",Proses!$I80&lt;&gt;"",Proses!$J80&lt;&gt;""),Proses!I80,"")</f>
        <v/>
      </c>
      <c r="J62" s="96" t="str">
        <f>IF(AND(Proses!$G80&lt;&gt;"",Proses!$H80&lt;&gt;"",Proses!$I80&lt;&gt;"",Proses!$J80&lt;&gt;""),Proses!J80,"")</f>
        <v/>
      </c>
    </row>
    <row r="63" spans="1:10" x14ac:dyDescent="0.25">
      <c r="A63" s="93">
        <v>3</v>
      </c>
      <c r="B63" s="94" t="s">
        <v>73</v>
      </c>
      <c r="C63" s="75" t="s">
        <v>96</v>
      </c>
      <c r="D63" s="94">
        <v>2</v>
      </c>
      <c r="E63" s="73" t="str">
        <f t="shared" si="10"/>
        <v/>
      </c>
      <c r="F63" s="95" t="str">
        <f t="shared" si="11"/>
        <v/>
      </c>
      <c r="G63" s="99" t="str">
        <f>IF(AND(Proses!$G81&lt;&gt;"",Proses!$H81&lt;&gt;"",Proses!$I81&lt;&gt;"",Proses!$J81&lt;&gt;""),Proses!G81,"")</f>
        <v/>
      </c>
      <c r="H63" s="97" t="str">
        <f>IF(AND(Proses!$G81&lt;&gt;"",Proses!$H81&lt;&gt;"",Proses!$I81&lt;&gt;"",Proses!$J81&lt;&gt;""),Proses!H81,"")</f>
        <v/>
      </c>
      <c r="I63" s="96" t="str">
        <f>IF(AND(Proses!$G81&lt;&gt;"",Proses!$H81&lt;&gt;"",Proses!$I81&lt;&gt;"",Proses!$J81&lt;&gt;""),Proses!I81,"")</f>
        <v/>
      </c>
      <c r="J63" s="96" t="str">
        <f>IF(AND(Proses!$G81&lt;&gt;"",Proses!$H81&lt;&gt;"",Proses!$I81&lt;&gt;"",Proses!$J81&lt;&gt;""),Proses!J81,"")</f>
        <v/>
      </c>
    </row>
    <row r="64" spans="1:10" x14ac:dyDescent="0.25">
      <c r="A64" s="93">
        <v>4</v>
      </c>
      <c r="B64" s="94" t="s">
        <v>159</v>
      </c>
      <c r="C64" s="71" t="s">
        <v>97</v>
      </c>
      <c r="D64" s="94">
        <v>2</v>
      </c>
      <c r="E64" s="73" t="str">
        <f t="shared" si="10"/>
        <v/>
      </c>
      <c r="F64" s="95" t="str">
        <f t="shared" si="11"/>
        <v/>
      </c>
      <c r="G64" s="99" t="str">
        <f>IF(AND(Proses!$G82&lt;&gt;"",Proses!$H82&lt;&gt;"",Proses!$I82&lt;&gt;"",Proses!$J82&lt;&gt;""),Proses!G82,"")</f>
        <v/>
      </c>
      <c r="H64" s="97" t="str">
        <f>IF(AND(Proses!$G82&lt;&gt;"",Proses!$H82&lt;&gt;"",Proses!$I82&lt;&gt;"",Proses!$J82&lt;&gt;""),Proses!H82,"")</f>
        <v/>
      </c>
      <c r="I64" s="96" t="str">
        <f>IF(AND(Proses!$G82&lt;&gt;"",Proses!$H82&lt;&gt;"",Proses!$I82&lt;&gt;"",Proses!$J82&lt;&gt;""),Proses!I82,"")</f>
        <v/>
      </c>
      <c r="J64" s="96" t="str">
        <f>IF(AND(Proses!$G82&lt;&gt;"",Proses!$H82&lt;&gt;"",Proses!$I82&lt;&gt;"",Proses!$J82&lt;&gt;""),Proses!J82,"")</f>
        <v/>
      </c>
    </row>
    <row r="65" spans="1:10" x14ac:dyDescent="0.25">
      <c r="A65" s="93">
        <v>5</v>
      </c>
      <c r="B65" s="94" t="s">
        <v>160</v>
      </c>
      <c r="C65" s="98" t="s">
        <v>99</v>
      </c>
      <c r="D65" s="94">
        <v>4</v>
      </c>
      <c r="E65" s="73" t="str">
        <f t="shared" si="10"/>
        <v/>
      </c>
      <c r="F65" s="95" t="str">
        <f t="shared" si="11"/>
        <v/>
      </c>
      <c r="G65" s="99" t="str">
        <f>IF(AND(Proses!$G83&lt;&gt;"",Proses!$H83&lt;&gt;"",Proses!$I83&lt;&gt;"",Proses!$J83&lt;&gt;""),Proses!G83,"")</f>
        <v/>
      </c>
      <c r="H65" s="97" t="str">
        <f>IF(AND(Proses!$G83&lt;&gt;"",Proses!$H83&lt;&gt;"",Proses!$I83&lt;&gt;"",Proses!$J83&lt;&gt;""),Proses!H83,"")</f>
        <v/>
      </c>
      <c r="I65" s="96" t="str">
        <f>IF(AND(Proses!$G83&lt;&gt;"",Proses!$H83&lt;&gt;"",Proses!$I83&lt;&gt;"",Proses!$J83&lt;&gt;""),Proses!I83,"")</f>
        <v/>
      </c>
      <c r="J65" s="96" t="str">
        <f>IF(AND(Proses!$G83&lt;&gt;"",Proses!$H83&lt;&gt;"",Proses!$I83&lt;&gt;"",Proses!$J83&lt;&gt;""),Proses!J83,"")</f>
        <v/>
      </c>
    </row>
    <row r="66" spans="1:10" x14ac:dyDescent="0.25">
      <c r="A66" s="93">
        <v>6</v>
      </c>
      <c r="B66" s="94" t="s">
        <v>161</v>
      </c>
      <c r="C66" s="71" t="s">
        <v>100</v>
      </c>
      <c r="D66" s="94">
        <v>4</v>
      </c>
      <c r="E66" s="73" t="str">
        <f t="shared" si="10"/>
        <v/>
      </c>
      <c r="F66" s="95" t="str">
        <f t="shared" si="11"/>
        <v/>
      </c>
      <c r="G66" s="99" t="str">
        <f>IF(AND(Proses!$G84&lt;&gt;"",Proses!$H84&lt;&gt;"",Proses!$I84&lt;&gt;"",Proses!$J84&lt;&gt;""),Proses!G84,"")</f>
        <v/>
      </c>
      <c r="H66" s="97" t="str">
        <f>IF(AND(Proses!$G84&lt;&gt;"",Proses!$H84&lt;&gt;"",Proses!$I84&lt;&gt;"",Proses!$J84&lt;&gt;""),Proses!H84,"")</f>
        <v/>
      </c>
      <c r="I66" s="96" t="str">
        <f>IF(AND(Proses!$G84&lt;&gt;"",Proses!$H84&lt;&gt;"",Proses!$I84&lt;&gt;"",Proses!$J84&lt;&gt;""),Proses!I84,"")</f>
        <v/>
      </c>
      <c r="J66" s="96" t="str">
        <f>IF(AND(Proses!$G84&lt;&gt;"",Proses!$H84&lt;&gt;"",Proses!$I84&lt;&gt;"",Proses!$J84&lt;&gt;""),Proses!J84,"")</f>
        <v/>
      </c>
    </row>
    <row r="67" spans="1:10" x14ac:dyDescent="0.25">
      <c r="A67" s="114" t="s">
        <v>27</v>
      </c>
      <c r="B67" s="115"/>
      <c r="C67" s="116"/>
      <c r="D67" s="23">
        <f>SUM(D61:D66)</f>
        <v>20</v>
      </c>
      <c r="E67" s="23">
        <f>SUM(E61:E66)</f>
        <v>0</v>
      </c>
      <c r="F67" s="67"/>
      <c r="G67" s="60"/>
      <c r="H67" s="46"/>
      <c r="I67" s="24"/>
      <c r="J67" s="25"/>
    </row>
    <row r="68" spans="1:10" x14ac:dyDescent="0.25">
      <c r="A68" s="6" t="s">
        <v>110</v>
      </c>
      <c r="B68" s="6"/>
      <c r="C68" s="6"/>
      <c r="D68" s="17"/>
      <c r="E68" s="18"/>
      <c r="F68" s="69"/>
      <c r="G68" s="61"/>
      <c r="H68" s="45"/>
      <c r="I68" s="20"/>
      <c r="J68" s="20"/>
    </row>
    <row r="69" spans="1:10" x14ac:dyDescent="0.25">
      <c r="A69" s="93">
        <v>1</v>
      </c>
      <c r="B69" s="94" t="s">
        <v>111</v>
      </c>
      <c r="C69" s="71" t="s">
        <v>112</v>
      </c>
      <c r="D69" s="73">
        <v>2</v>
      </c>
      <c r="E69" s="73" t="str">
        <f t="shared" ref="E69:E73" si="12">IF(AND($G69&lt;&gt;"",$H69&lt;&gt;"",$I69&lt;&gt;"",$J69&lt;&gt;""),$D69,"")</f>
        <v/>
      </c>
      <c r="F69" s="95" t="str">
        <f t="shared" ref="F69:F73" si="13">IF(AND($G69&lt;&gt;"",$H69&lt;&gt;"",$I69&lt;&gt;"",$J69&lt;&gt;""),$J69,"")</f>
        <v/>
      </c>
      <c r="G69" s="99" t="str">
        <f>IF(AND(Proses!$G103&lt;&gt;"",Proses!$H103&lt;&gt;"",Proses!$I103&lt;&gt;"",Proses!$J103&lt;&gt;""),Proses!G103,"")</f>
        <v/>
      </c>
      <c r="H69" s="97" t="str">
        <f>IF(AND(Proses!$G103&lt;&gt;"",Proses!$H103&lt;&gt;"",Proses!$I103&lt;&gt;"",Proses!$J103&lt;&gt;""),Proses!H103,"")</f>
        <v/>
      </c>
      <c r="I69" s="96" t="str">
        <f>IF(AND(Proses!$G103&lt;&gt;"",Proses!$H103&lt;&gt;"",Proses!$I103&lt;&gt;"",Proses!$J103&lt;&gt;""),Proses!I103,"")</f>
        <v/>
      </c>
      <c r="J69" s="96" t="str">
        <f>IF(AND(Proses!$G103&lt;&gt;"",Proses!$H103&lt;&gt;"",Proses!$I103&lt;&gt;"",Proses!$J103&lt;&gt;""),Proses!J103,"")</f>
        <v/>
      </c>
    </row>
    <row r="70" spans="1:10" x14ac:dyDescent="0.25">
      <c r="A70" s="93">
        <v>2</v>
      </c>
      <c r="B70" s="94" t="s">
        <v>113</v>
      </c>
      <c r="C70" s="71" t="s">
        <v>114</v>
      </c>
      <c r="D70" s="73">
        <v>2</v>
      </c>
      <c r="E70" s="73" t="str">
        <f t="shared" si="12"/>
        <v/>
      </c>
      <c r="F70" s="95" t="str">
        <f t="shared" si="13"/>
        <v/>
      </c>
      <c r="G70" s="99" t="str">
        <f>IF(AND(Proses!$G104&lt;&gt;"",Proses!$H104&lt;&gt;"",Proses!$I104&lt;&gt;"",Proses!$J104&lt;&gt;""),Proses!G104,"")</f>
        <v/>
      </c>
      <c r="H70" s="97" t="str">
        <f>IF(AND(Proses!$G104&lt;&gt;"",Proses!$H104&lt;&gt;"",Proses!$I104&lt;&gt;"",Proses!$J104&lt;&gt;""),Proses!H104,"")</f>
        <v/>
      </c>
      <c r="I70" s="96" t="str">
        <f>IF(AND(Proses!$G104&lt;&gt;"",Proses!$H104&lt;&gt;"",Proses!$I104&lt;&gt;"",Proses!$J104&lt;&gt;""),Proses!I104,"")</f>
        <v/>
      </c>
      <c r="J70" s="96" t="str">
        <f>IF(AND(Proses!$G104&lt;&gt;"",Proses!$H104&lt;&gt;"",Proses!$I104&lt;&gt;"",Proses!$J104&lt;&gt;""),Proses!J104,"")</f>
        <v/>
      </c>
    </row>
    <row r="71" spans="1:10" x14ac:dyDescent="0.25">
      <c r="A71" s="93">
        <v>3</v>
      </c>
      <c r="B71" s="94" t="s">
        <v>167</v>
      </c>
      <c r="C71" s="71" t="s">
        <v>115</v>
      </c>
      <c r="D71" s="73">
        <v>4</v>
      </c>
      <c r="E71" s="73" t="str">
        <f t="shared" si="12"/>
        <v/>
      </c>
      <c r="F71" s="95" t="str">
        <f t="shared" si="13"/>
        <v/>
      </c>
      <c r="G71" s="99" t="str">
        <f>IF(AND(Proses!$G105&lt;&gt;"",Proses!$H105&lt;&gt;"",Proses!$I105&lt;&gt;"",Proses!$J105&lt;&gt;""),Proses!G105,"")</f>
        <v/>
      </c>
      <c r="H71" s="97" t="str">
        <f>IF(AND(Proses!$G105&lt;&gt;"",Proses!$H105&lt;&gt;"",Proses!$I105&lt;&gt;"",Proses!$J105&lt;&gt;""),Proses!H105,"")</f>
        <v/>
      </c>
      <c r="I71" s="96" t="str">
        <f>IF(AND(Proses!$G105&lt;&gt;"",Proses!$H105&lt;&gt;"",Proses!$I105&lt;&gt;"",Proses!$J105&lt;&gt;""),Proses!I105,"")</f>
        <v/>
      </c>
      <c r="J71" s="96" t="str">
        <f>IF(AND(Proses!$G105&lt;&gt;"",Proses!$H105&lt;&gt;"",Proses!$I105&lt;&gt;"",Proses!$J105&lt;&gt;""),Proses!J105,"")</f>
        <v/>
      </c>
    </row>
    <row r="72" spans="1:10" x14ac:dyDescent="0.25">
      <c r="A72" s="93">
        <v>4</v>
      </c>
      <c r="B72" s="94" t="s">
        <v>168</v>
      </c>
      <c r="C72" s="71" t="s">
        <v>116</v>
      </c>
      <c r="D72" s="73">
        <v>2</v>
      </c>
      <c r="E72" s="73" t="str">
        <f t="shared" si="12"/>
        <v/>
      </c>
      <c r="F72" s="95" t="str">
        <f t="shared" si="13"/>
        <v/>
      </c>
      <c r="G72" s="99" t="str">
        <f>IF(AND(Proses!$G106&lt;&gt;"",Proses!$H106&lt;&gt;"",Proses!$I106&lt;&gt;"",Proses!$J106&lt;&gt;""),Proses!G106,"")</f>
        <v/>
      </c>
      <c r="H72" s="97" t="str">
        <f>IF(AND(Proses!$G106&lt;&gt;"",Proses!$H106&lt;&gt;"",Proses!$I106&lt;&gt;"",Proses!$J106&lt;&gt;""),Proses!H106,"")</f>
        <v/>
      </c>
      <c r="I72" s="96" t="str">
        <f>IF(AND(Proses!$G106&lt;&gt;"",Proses!$H106&lt;&gt;"",Proses!$I106&lt;&gt;"",Proses!$J106&lt;&gt;""),Proses!I106,"")</f>
        <v/>
      </c>
      <c r="J72" s="96" t="str">
        <f>IF(AND(Proses!$G106&lt;&gt;"",Proses!$H106&lt;&gt;"",Proses!$I106&lt;&gt;"",Proses!$J106&lt;&gt;""),Proses!J106,"")</f>
        <v/>
      </c>
    </row>
    <row r="73" spans="1:10" x14ac:dyDescent="0.25">
      <c r="A73" s="93">
        <v>5</v>
      </c>
      <c r="B73" s="94" t="s">
        <v>169</v>
      </c>
      <c r="C73" s="98" t="s">
        <v>117</v>
      </c>
      <c r="D73" s="73">
        <v>4</v>
      </c>
      <c r="E73" s="73" t="str">
        <f t="shared" si="12"/>
        <v/>
      </c>
      <c r="F73" s="95" t="str">
        <f t="shared" si="13"/>
        <v/>
      </c>
      <c r="G73" s="99" t="str">
        <f>IF(AND(Proses!$G107&lt;&gt;"",Proses!$H107&lt;&gt;"",Proses!$I107&lt;&gt;"",Proses!$J107&lt;&gt;""),Proses!G107,"")</f>
        <v/>
      </c>
      <c r="H73" s="97" t="str">
        <f>IF(AND(Proses!$G107&lt;&gt;"",Proses!$H107&lt;&gt;"",Proses!$I107&lt;&gt;"",Proses!$J107&lt;&gt;""),Proses!H107,"")</f>
        <v/>
      </c>
      <c r="I73" s="96" t="str">
        <f>IF(AND(Proses!$G107&lt;&gt;"",Proses!$H107&lt;&gt;"",Proses!$I107&lt;&gt;"",Proses!$J107&lt;&gt;""),Proses!I107,"")</f>
        <v/>
      </c>
      <c r="J73" s="96" t="str">
        <f>IF(AND(Proses!$G107&lt;&gt;"",Proses!$H107&lt;&gt;"",Proses!$I107&lt;&gt;"",Proses!$J107&lt;&gt;""),Proses!J107,"")</f>
        <v/>
      </c>
    </row>
    <row r="74" spans="1:10" x14ac:dyDescent="0.25">
      <c r="A74" s="114" t="s">
        <v>27</v>
      </c>
      <c r="B74" s="115"/>
      <c r="C74" s="116"/>
      <c r="D74" s="23">
        <f>SUM(D69:D73)</f>
        <v>14</v>
      </c>
      <c r="E74" s="23">
        <f>SUM(E69:E73)</f>
        <v>0</v>
      </c>
      <c r="F74" s="67"/>
      <c r="G74" s="60"/>
      <c r="H74" s="47"/>
      <c r="I74" s="38"/>
      <c r="J74" s="38"/>
    </row>
    <row r="75" spans="1:10" x14ac:dyDescent="0.25">
      <c r="A75" s="6" t="s">
        <v>122</v>
      </c>
      <c r="B75" s="6"/>
      <c r="C75" s="6"/>
      <c r="D75" s="17"/>
      <c r="E75" s="19"/>
      <c r="F75" s="70"/>
      <c r="G75" s="63"/>
      <c r="H75" s="45"/>
      <c r="I75" s="20"/>
      <c r="J75" s="22"/>
    </row>
    <row r="76" spans="1:10" x14ac:dyDescent="0.25">
      <c r="A76" s="72">
        <v>1</v>
      </c>
      <c r="B76" s="73" t="s">
        <v>123</v>
      </c>
      <c r="C76" s="71" t="s">
        <v>124</v>
      </c>
      <c r="D76" s="73">
        <v>4</v>
      </c>
      <c r="E76" s="73" t="str">
        <f t="shared" ref="E76:E79" si="14">IF(AND($G76&lt;&gt;"",$H76&lt;&gt;"",$I76&lt;&gt;"",$J76&lt;&gt;""),$D76,"")</f>
        <v/>
      </c>
      <c r="F76" s="95" t="str">
        <f t="shared" ref="F76:F79" si="15">IF(AND($G76&lt;&gt;"",$H76&lt;&gt;"",$I76&lt;&gt;"",$J76&lt;&gt;""),$J76,"")</f>
        <v/>
      </c>
      <c r="G76" s="99" t="str">
        <f>IF(AND(Proses!$G124&lt;&gt;"",Proses!$H124&lt;&gt;"",Proses!$I124&lt;&gt;"",Proses!$J124&lt;&gt;""),Proses!G124,"")</f>
        <v/>
      </c>
      <c r="H76" s="97" t="str">
        <f>IF(AND(Proses!$G124&lt;&gt;"",Proses!$H124&lt;&gt;"",Proses!$I124&lt;&gt;"",Proses!$J124&lt;&gt;""),Proses!H124,"")</f>
        <v/>
      </c>
      <c r="I76" s="96" t="str">
        <f>IF(AND(Proses!$G124&lt;&gt;"",Proses!$H124&lt;&gt;"",Proses!$I124&lt;&gt;"",Proses!$J124&lt;&gt;""),Proses!I124,"")</f>
        <v/>
      </c>
      <c r="J76" s="96" t="str">
        <f>IF(AND(Proses!$G124&lt;&gt;"",Proses!$H124&lt;&gt;"",Proses!$I124&lt;&gt;"",Proses!$J124&lt;&gt;""),Proses!J124,"")</f>
        <v/>
      </c>
    </row>
    <row r="77" spans="1:10" x14ac:dyDescent="0.25">
      <c r="A77" s="72">
        <v>2</v>
      </c>
      <c r="B77" s="73" t="s">
        <v>172</v>
      </c>
      <c r="C77" s="75" t="s">
        <v>125</v>
      </c>
      <c r="D77" s="73">
        <v>4</v>
      </c>
      <c r="E77" s="73">
        <f t="shared" si="14"/>
        <v>4</v>
      </c>
      <c r="F77" s="95" t="str">
        <f t="shared" si="15"/>
        <v>B</v>
      </c>
      <c r="G77" s="99" t="str">
        <f>IF(AND(Proses!$G125&lt;&gt;"",Proses!$H125&lt;&gt;"",Proses!$I125&lt;&gt;"",Proses!$J125&lt;&gt;""),Proses!G125,"")</f>
        <v>SI0219</v>
      </c>
      <c r="H77" s="97" t="str">
        <f>IF(AND(Proses!$G125&lt;&gt;"",Proses!$H125&lt;&gt;"",Proses!$I125&lt;&gt;"",Proses!$J125&lt;&gt;""),Proses!H125,"")</f>
        <v>E-Commerce</v>
      </c>
      <c r="I77" s="96">
        <f>IF(AND(Proses!$G125&lt;&gt;"",Proses!$H125&lt;&gt;"",Proses!$I125&lt;&gt;"",Proses!$J125&lt;&gt;""),Proses!I125,"")</f>
        <v>4</v>
      </c>
      <c r="J77" s="96" t="str">
        <f>IF(AND(Proses!$G125&lt;&gt;"",Proses!$H125&lt;&gt;"",Proses!$I125&lt;&gt;"",Proses!$J125&lt;&gt;""),Proses!J125,"")</f>
        <v>B</v>
      </c>
    </row>
    <row r="78" spans="1:10" x14ac:dyDescent="0.25">
      <c r="A78" s="72">
        <v>3</v>
      </c>
      <c r="B78" s="73" t="s">
        <v>98</v>
      </c>
      <c r="C78" s="71" t="s">
        <v>127</v>
      </c>
      <c r="D78" s="73">
        <v>2</v>
      </c>
      <c r="E78" s="73" t="str">
        <f t="shared" si="14"/>
        <v/>
      </c>
      <c r="F78" s="95" t="str">
        <f t="shared" si="15"/>
        <v/>
      </c>
      <c r="G78" s="99" t="str">
        <f>IF(AND(Proses!$G126&lt;&gt;"",Proses!$H126&lt;&gt;"",Proses!$I126&lt;&gt;"",Proses!$J126&lt;&gt;""),Proses!G126,"")</f>
        <v/>
      </c>
      <c r="H78" s="97" t="str">
        <f>IF(AND(Proses!$G126&lt;&gt;"",Proses!$H126&lt;&gt;"",Proses!$I126&lt;&gt;"",Proses!$J126&lt;&gt;""),Proses!H126,"")</f>
        <v/>
      </c>
      <c r="I78" s="96" t="str">
        <f>IF(AND(Proses!$G126&lt;&gt;"",Proses!$H126&lt;&gt;"",Proses!$I126&lt;&gt;"",Proses!$J126&lt;&gt;""),Proses!I126,"")</f>
        <v/>
      </c>
      <c r="J78" s="96" t="str">
        <f>IF(AND(Proses!$G126&lt;&gt;"",Proses!$H126&lt;&gt;"",Proses!$I126&lt;&gt;"",Proses!$J126&lt;&gt;""),Proses!J126,"")</f>
        <v/>
      </c>
    </row>
    <row r="79" spans="1:10" x14ac:dyDescent="0.25">
      <c r="A79" s="72">
        <v>4</v>
      </c>
      <c r="B79" s="73" t="s">
        <v>128</v>
      </c>
      <c r="C79" s="71" t="s">
        <v>129</v>
      </c>
      <c r="D79" s="73">
        <v>2</v>
      </c>
      <c r="E79" s="73" t="str">
        <f t="shared" si="14"/>
        <v/>
      </c>
      <c r="F79" s="95" t="str">
        <f t="shared" si="15"/>
        <v/>
      </c>
      <c r="G79" s="99" t="str">
        <f>IF(AND(Proses!$G127&lt;&gt;"",Proses!$H127&lt;&gt;"",Proses!$I127&lt;&gt;"",Proses!$J127&lt;&gt;""),Proses!G127,"")</f>
        <v/>
      </c>
      <c r="H79" s="97" t="str">
        <f>IF(AND(Proses!$G127&lt;&gt;"",Proses!$H127&lt;&gt;"",Proses!$I127&lt;&gt;"",Proses!$J127&lt;&gt;""),Proses!H127,"")</f>
        <v/>
      </c>
      <c r="I79" s="96" t="str">
        <f>IF(AND(Proses!$G127&lt;&gt;"",Proses!$H127&lt;&gt;"",Proses!$I127&lt;&gt;"",Proses!$J127&lt;&gt;""),Proses!I127,"")</f>
        <v/>
      </c>
      <c r="J79" s="96" t="str">
        <f>IF(AND(Proses!$G127&lt;&gt;"",Proses!$H127&lt;&gt;"",Proses!$I127&lt;&gt;"",Proses!$J127&lt;&gt;""),Proses!J127,"")</f>
        <v/>
      </c>
    </row>
    <row r="80" spans="1:10" x14ac:dyDescent="0.25">
      <c r="A80" s="114" t="s">
        <v>27</v>
      </c>
      <c r="B80" s="115"/>
      <c r="C80" s="116"/>
      <c r="D80" s="23">
        <f>SUM(D76:D79)</f>
        <v>12</v>
      </c>
      <c r="E80" s="23">
        <f>SUM(E76:E79)</f>
        <v>4</v>
      </c>
      <c r="F80" s="67"/>
      <c r="G80" s="60"/>
      <c r="H80" s="48"/>
      <c r="I80" s="25"/>
      <c r="J80" s="25"/>
    </row>
    <row r="81" spans="1:10" x14ac:dyDescent="0.25">
      <c r="A81" s="103" t="s">
        <v>130</v>
      </c>
      <c r="B81" s="103"/>
      <c r="C81" s="103"/>
      <c r="D81" s="103">
        <f>SUM(E21,E32,E41,E50,E59,E67,E74,E80)</f>
        <v>38</v>
      </c>
      <c r="E81" s="103"/>
      <c r="F81" s="104"/>
      <c r="G81" s="105" t="s">
        <v>131</v>
      </c>
      <c r="H81" s="103"/>
      <c r="I81" s="103">
        <f>SUM(I12:I79)</f>
        <v>38</v>
      </c>
      <c r="J81" s="103"/>
    </row>
    <row r="83" spans="1:10" x14ac:dyDescent="0.25">
      <c r="C83" s="42" t="str">
        <f>IF(Proses!C131&lt;&gt;"",Proses!C131,"")</f>
        <v>ENTERPRICE SYSTEM (ES)</v>
      </c>
      <c r="D83" s="42">
        <f>IF(Proses!D131&lt;&gt;"",Proses!D131,"")</f>
        <v>38</v>
      </c>
    </row>
  </sheetData>
  <sheetProtection algorithmName="SHA-512" hashValue="aW0Jm89M7j749RqE4IALEwrciVDXJ+VoJxkFEMT6bzB1pGiu+SjHoFi2GFvASrEdvEHdBFHnWZ6Woz7sN4cAdQ==" saltValue="dLxVAXtnvEF6dwuVnb9lxQ==" spinCount="100000" sheet="1" objects="1" scenarios="1" selectLockedCells="1"/>
  <mergeCells count="17">
    <mergeCell ref="A1:J1"/>
    <mergeCell ref="A2:J2"/>
    <mergeCell ref="A7:C7"/>
    <mergeCell ref="A59:C59"/>
    <mergeCell ref="A67:C67"/>
    <mergeCell ref="A9:F9"/>
    <mergeCell ref="G9:J9"/>
    <mergeCell ref="A21:C21"/>
    <mergeCell ref="A32:C32"/>
    <mergeCell ref="A41:C41"/>
    <mergeCell ref="A50:C50"/>
    <mergeCell ref="G81:H81"/>
    <mergeCell ref="I81:J81"/>
    <mergeCell ref="A74:C74"/>
    <mergeCell ref="A80:C80"/>
    <mergeCell ref="A81:C81"/>
    <mergeCell ref="D81:F81"/>
  </mergeCells>
  <conditionalFormatting sqref="A12:J20 A23:J31 A34:J40 A43:J49 A52:J58 A61:J66 A69:J73 A76:J79">
    <cfRule type="expression" dxfId="4" priority="1">
      <formula>$F12=""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opLeftCell="A36" workbookViewId="0">
      <selection activeCell="G52" sqref="G52"/>
    </sheetView>
  </sheetViews>
  <sheetFormatPr defaultRowHeight="15" x14ac:dyDescent="0.25"/>
  <cols>
    <col min="3" max="3" width="38.42578125" bestFit="1" customWidth="1"/>
    <col min="4" max="4" width="5.5703125" bestFit="1" customWidth="1"/>
    <col min="5" max="5" width="7.5703125" bestFit="1" customWidth="1"/>
    <col min="6" max="6" width="6.140625" bestFit="1" customWidth="1"/>
    <col min="7" max="7" width="11.7109375" customWidth="1"/>
    <col min="8" max="8" width="48.7109375" customWidth="1"/>
    <col min="9" max="10" width="6.140625" bestFit="1" customWidth="1"/>
  </cols>
  <sheetData>
    <row r="1" spans="1:10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25">
      <c r="A2" s="106" t="s">
        <v>138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x14ac:dyDescent="0.25">
      <c r="A3" s="1"/>
      <c r="B3" s="1"/>
      <c r="C3" s="1"/>
      <c r="D3" s="8"/>
      <c r="E3" s="8"/>
      <c r="F3" s="8"/>
      <c r="G3" s="2"/>
      <c r="H3" s="14"/>
      <c r="I3" s="11"/>
      <c r="J3" s="11"/>
    </row>
    <row r="4" spans="1:10" x14ac:dyDescent="0.25">
      <c r="A4" s="92" t="s">
        <v>1</v>
      </c>
      <c r="B4" s="92"/>
      <c r="C4" s="3" t="str">
        <f>Proses!C4</f>
        <v>: I Made Oka Mahendra</v>
      </c>
      <c r="D4" s="8"/>
      <c r="E4" s="8"/>
      <c r="F4" s="49" t="s">
        <v>135</v>
      </c>
      <c r="G4" s="2"/>
      <c r="H4" s="14" t="str">
        <f>Proses!H4</f>
        <v>:Sistem Informasi</v>
      </c>
      <c r="I4" s="11"/>
      <c r="J4" s="11"/>
    </row>
    <row r="5" spans="1:10" x14ac:dyDescent="0.25">
      <c r="A5" s="3" t="s">
        <v>3</v>
      </c>
      <c r="B5" s="3"/>
      <c r="C5" s="1" t="str">
        <f>Proses!C5</f>
        <v>: ITB STIKOM Bali</v>
      </c>
      <c r="D5" s="8"/>
      <c r="E5" s="8"/>
      <c r="F5" s="49" t="s">
        <v>136</v>
      </c>
      <c r="G5" s="2"/>
      <c r="H5" s="14" t="str">
        <f>Proses!H5</f>
        <v>:ReNIM</v>
      </c>
      <c r="I5" s="11"/>
      <c r="J5" s="11"/>
    </row>
    <row r="6" spans="1:10" x14ac:dyDescent="0.25">
      <c r="A6" s="3" t="s">
        <v>4</v>
      </c>
      <c r="B6" s="3"/>
      <c r="C6" s="1" t="str">
        <f>Proses!C6</f>
        <v>: -</v>
      </c>
      <c r="D6" s="8"/>
      <c r="E6" s="8"/>
      <c r="F6" s="49" t="s">
        <v>137</v>
      </c>
      <c r="G6" s="2"/>
      <c r="H6" s="14" t="str">
        <f>Proses!H6</f>
        <v>: 6 Juli 2021</v>
      </c>
      <c r="I6" s="11"/>
      <c r="J6" s="11"/>
    </row>
    <row r="7" spans="1:10" x14ac:dyDescent="0.25">
      <c r="A7" s="107" t="str">
        <f>"Total SKS yang ditransfer : "&amp;D81&amp;" SKS"</f>
        <v>Total SKS yang ditransfer : 40 SKS</v>
      </c>
      <c r="B7" s="107"/>
      <c r="C7" s="107"/>
      <c r="D7" s="8"/>
      <c r="E7" s="8"/>
      <c r="F7" s="8"/>
      <c r="G7" s="2"/>
      <c r="H7" s="14"/>
      <c r="I7" s="11"/>
      <c r="J7" s="11"/>
    </row>
    <row r="8" spans="1:10" x14ac:dyDescent="0.25">
      <c r="A8" s="1"/>
      <c r="B8" s="1"/>
      <c r="C8" s="1"/>
      <c r="D8" s="8"/>
      <c r="E8" s="8"/>
      <c r="F8" s="8"/>
      <c r="G8" s="2"/>
      <c r="H8" s="14"/>
      <c r="I8" s="11"/>
      <c r="J8" s="11"/>
    </row>
    <row r="9" spans="1:10" x14ac:dyDescent="0.25">
      <c r="A9" s="124" t="s">
        <v>173</v>
      </c>
      <c r="B9" s="125"/>
      <c r="C9" s="125"/>
      <c r="D9" s="125"/>
      <c r="E9" s="125"/>
      <c r="F9" s="126"/>
      <c r="G9" s="125" t="s">
        <v>5</v>
      </c>
      <c r="H9" s="125"/>
      <c r="I9" s="125"/>
      <c r="J9" s="110"/>
    </row>
    <row r="10" spans="1:10" ht="28.5" x14ac:dyDescent="0.25">
      <c r="A10" s="4" t="s">
        <v>6</v>
      </c>
      <c r="B10" s="4" t="s">
        <v>7</v>
      </c>
      <c r="C10" s="5" t="s">
        <v>8</v>
      </c>
      <c r="D10" s="16" t="s">
        <v>9</v>
      </c>
      <c r="E10" s="16" t="s">
        <v>10</v>
      </c>
      <c r="F10" s="64" t="s">
        <v>11</v>
      </c>
      <c r="G10" s="57" t="s">
        <v>7</v>
      </c>
      <c r="H10" s="9" t="s">
        <v>8</v>
      </c>
      <c r="I10" s="9" t="s">
        <v>9</v>
      </c>
      <c r="J10" s="9" t="s">
        <v>11</v>
      </c>
    </row>
    <row r="11" spans="1:10" x14ac:dyDescent="0.25">
      <c r="A11" s="6" t="s">
        <v>12</v>
      </c>
      <c r="B11" s="6"/>
      <c r="C11" s="6"/>
      <c r="D11" s="10"/>
      <c r="E11" s="10"/>
      <c r="F11" s="65"/>
      <c r="G11" s="58"/>
      <c r="H11" s="15"/>
      <c r="I11" s="12"/>
      <c r="J11" s="15"/>
    </row>
    <row r="12" spans="1:10" x14ac:dyDescent="0.25">
      <c r="A12" s="93">
        <v>1</v>
      </c>
      <c r="B12" s="94" t="s">
        <v>13</v>
      </c>
      <c r="C12" s="71" t="s">
        <v>140</v>
      </c>
      <c r="D12" s="94">
        <v>2</v>
      </c>
      <c r="E12" s="73">
        <f>IF(AND($G12&lt;&gt;"",$H12&lt;&gt;"",$I12&lt;&gt;"",$J12&lt;&gt;""),$D12,"")</f>
        <v>2</v>
      </c>
      <c r="F12" s="95" t="str">
        <f>IF(AND($G12&lt;&gt;"",$H12&lt;&gt;"",$I12&lt;&gt;"",$J12&lt;&gt;""),$J12,"")</f>
        <v>AB</v>
      </c>
      <c r="G12" s="74" t="str">
        <f>IF(AND(Proses!$G12&lt;&gt;"",Proses!$H12&lt;&gt;"",Proses!$I12&lt;&gt;"",Proses!$J12&lt;&gt;""),Proses!G12,"")</f>
        <v>SI9105</v>
      </c>
      <c r="H12" s="77" t="str">
        <f>IF(AND(Proses!$G12&lt;&gt;"",Proses!$H12&lt;&gt;"",Proses!$I12&lt;&gt;"",Proses!$J12&lt;&gt;""),Proses!H12,"")</f>
        <v>Bahasa Inggris I</v>
      </c>
      <c r="I12" s="73">
        <f>IF(AND(Proses!$G12&lt;&gt;"",Proses!$H12&lt;&gt;"",Proses!$I12&lt;&gt;"",Proses!$J12&lt;&gt;""),Proses!I12,"")</f>
        <v>2</v>
      </c>
      <c r="J12" s="73" t="str">
        <f>IF(AND(Proses!$G12&lt;&gt;"",Proses!$H12&lt;&gt;"",Proses!$I12&lt;&gt;"",Proses!$J12&lt;&gt;""),Proses!J12,"")</f>
        <v>AB</v>
      </c>
    </row>
    <row r="13" spans="1:10" x14ac:dyDescent="0.25">
      <c r="A13" s="93">
        <v>2</v>
      </c>
      <c r="B13" s="73" t="s">
        <v>141</v>
      </c>
      <c r="C13" s="71" t="s">
        <v>14</v>
      </c>
      <c r="D13" s="94">
        <v>2</v>
      </c>
      <c r="E13" s="73">
        <f t="shared" ref="E13:E20" si="0">IF(AND($G13&lt;&gt;"",$H13&lt;&gt;"",$I13&lt;&gt;"",$J13&lt;&gt;""),$D13,"")</f>
        <v>2</v>
      </c>
      <c r="F13" s="95" t="str">
        <f t="shared" ref="F13:F20" si="1">IF(AND($G13&lt;&gt;"",$H13&lt;&gt;"",$I13&lt;&gt;"",$J13&lt;&gt;""),$J13,"")</f>
        <v>A</v>
      </c>
      <c r="G13" s="74" t="str">
        <f>IF(AND(Proses!$G13&lt;&gt;"",Proses!$H13&lt;&gt;"",Proses!$I13&lt;&gt;"",Proses!$J13&lt;&gt;""),Proses!G13,"")</f>
        <v>SI9208</v>
      </c>
      <c r="H13" s="77" t="str">
        <f>IF(AND(Proses!$G13&lt;&gt;"",Proses!$H13&lt;&gt;"",Proses!$I13&lt;&gt;"",Proses!$J13&lt;&gt;""),Proses!H13,"")</f>
        <v>Seni Budaya</v>
      </c>
      <c r="I13" s="73">
        <f>IF(AND(Proses!$G13&lt;&gt;"",Proses!$H13&lt;&gt;"",Proses!$I13&lt;&gt;"",Proses!$J13&lt;&gt;""),Proses!I13,"")</f>
        <v>2</v>
      </c>
      <c r="J13" s="73" t="str">
        <f>IF(AND(Proses!$G13&lt;&gt;"",Proses!$H13&lt;&gt;"",Proses!$I13&lt;&gt;"",Proses!$J13&lt;&gt;""),Proses!J13,"")</f>
        <v>A</v>
      </c>
    </row>
    <row r="14" spans="1:10" x14ac:dyDescent="0.25">
      <c r="A14" s="93">
        <v>3</v>
      </c>
      <c r="B14" s="94" t="s">
        <v>15</v>
      </c>
      <c r="C14" s="71" t="s">
        <v>16</v>
      </c>
      <c r="D14" s="94">
        <v>4</v>
      </c>
      <c r="E14" s="73">
        <f t="shared" si="0"/>
        <v>4</v>
      </c>
      <c r="F14" s="95" t="str">
        <f t="shared" si="1"/>
        <v>AB</v>
      </c>
      <c r="G14" s="74" t="str">
        <f>IF(AND(Proses!$G14&lt;&gt;"",Proses!$H14&lt;&gt;"",Proses!$I14&lt;&gt;"",Proses!$J14&lt;&gt;""),Proses!G14,"")</f>
        <v>SI0201</v>
      </c>
      <c r="H14" s="77" t="str">
        <f>IF(AND(Proses!$G14&lt;&gt;"",Proses!$H14&lt;&gt;"",Proses!$I14&lt;&gt;"",Proses!$J14&lt;&gt;""),Proses!H14,"")</f>
        <v>Matematika Diskrit</v>
      </c>
      <c r="I14" s="73">
        <f>IF(AND(Proses!$G14&lt;&gt;"",Proses!$H14&lt;&gt;"",Proses!$I14&lt;&gt;"",Proses!$J14&lt;&gt;""),Proses!I14,"")</f>
        <v>4</v>
      </c>
      <c r="J14" s="73" t="str">
        <f>IF(AND(Proses!$G14&lt;&gt;"",Proses!$H14&lt;&gt;"",Proses!$I14&lt;&gt;"",Proses!$J14&lt;&gt;""),Proses!J14,"")</f>
        <v>AB</v>
      </c>
    </row>
    <row r="15" spans="1:10" x14ac:dyDescent="0.25">
      <c r="A15" s="93">
        <v>4</v>
      </c>
      <c r="B15" s="94" t="s">
        <v>17</v>
      </c>
      <c r="C15" s="75" t="s">
        <v>18</v>
      </c>
      <c r="D15" s="94">
        <v>2</v>
      </c>
      <c r="E15" s="73">
        <f t="shared" si="0"/>
        <v>2</v>
      </c>
      <c r="F15" s="95" t="str">
        <f t="shared" si="1"/>
        <v>AB</v>
      </c>
      <c r="G15" s="74" t="str">
        <f>IF(AND(Proses!$G15&lt;&gt;"",Proses!$H15&lt;&gt;"",Proses!$I15&lt;&gt;"",Proses!$J15&lt;&gt;""),Proses!G15,"")</f>
        <v>SI0202</v>
      </c>
      <c r="H15" s="77" t="str">
        <f>IF(AND(Proses!$G15&lt;&gt;"",Proses!$H15&lt;&gt;"",Proses!$I15&lt;&gt;"",Proses!$J15&lt;&gt;""),Proses!H15,"")</f>
        <v>Algoritma dan Pemrograman</v>
      </c>
      <c r="I15" s="73">
        <f>IF(AND(Proses!$G15&lt;&gt;"",Proses!$H15&lt;&gt;"",Proses!$I15&lt;&gt;"",Proses!$J15&lt;&gt;""),Proses!I15,"")</f>
        <v>2</v>
      </c>
      <c r="J15" s="73" t="str">
        <f>IF(AND(Proses!$G15&lt;&gt;"",Proses!$H15&lt;&gt;"",Proses!$I15&lt;&gt;"",Proses!$J15&lt;&gt;""),Proses!J15,"")</f>
        <v>AB</v>
      </c>
    </row>
    <row r="16" spans="1:10" x14ac:dyDescent="0.25">
      <c r="A16" s="93">
        <v>5</v>
      </c>
      <c r="B16" s="94" t="s">
        <v>37</v>
      </c>
      <c r="C16" s="75" t="s">
        <v>19</v>
      </c>
      <c r="D16" s="94">
        <v>1</v>
      </c>
      <c r="E16" s="73">
        <f t="shared" si="0"/>
        <v>1</v>
      </c>
      <c r="F16" s="95" t="str">
        <f t="shared" si="1"/>
        <v>AB</v>
      </c>
      <c r="G16" s="74" t="str">
        <f>IF(AND(Proses!$G16&lt;&gt;"",Proses!$H16&lt;&gt;"",Proses!$I16&lt;&gt;"",Proses!$J16&lt;&gt;""),Proses!G16,"")</f>
        <v>SI0304</v>
      </c>
      <c r="H16" s="77" t="str">
        <f>IF(AND(Proses!$G16&lt;&gt;"",Proses!$H16&lt;&gt;"",Proses!$I16&lt;&gt;"",Proses!$J16&lt;&gt;""),Proses!H16,"")</f>
        <v>Praktikum Algoritma dan Pemrograman</v>
      </c>
      <c r="I16" s="73">
        <f>IF(AND(Proses!$G16&lt;&gt;"",Proses!$H16&lt;&gt;"",Proses!$I16&lt;&gt;"",Proses!$J16&lt;&gt;""),Proses!I16,"")</f>
        <v>1</v>
      </c>
      <c r="J16" s="73" t="str">
        <f>IF(AND(Proses!$G16&lt;&gt;"",Proses!$H16&lt;&gt;"",Proses!$I16&lt;&gt;"",Proses!$J16&lt;&gt;""),Proses!J16,"")</f>
        <v>AB</v>
      </c>
    </row>
    <row r="17" spans="1:10" x14ac:dyDescent="0.25">
      <c r="A17" s="93">
        <v>6</v>
      </c>
      <c r="B17" s="94" t="s">
        <v>20</v>
      </c>
      <c r="C17" s="71" t="s">
        <v>21</v>
      </c>
      <c r="D17" s="94">
        <v>2</v>
      </c>
      <c r="E17" s="73">
        <f t="shared" si="0"/>
        <v>2</v>
      </c>
      <c r="F17" s="95" t="str">
        <f t="shared" si="1"/>
        <v>AB</v>
      </c>
      <c r="G17" s="74" t="str">
        <f>IF(AND(Proses!$G17&lt;&gt;"",Proses!$H17&lt;&gt;"",Proses!$I17&lt;&gt;"",Proses!$J17&lt;&gt;""),Proses!G17,"")</f>
        <v>SI9203</v>
      </c>
      <c r="H17" s="77" t="str">
        <f>IF(AND(Proses!$G17&lt;&gt;"",Proses!$H17&lt;&gt;"",Proses!$I17&lt;&gt;"",Proses!$J17&lt;&gt;""),Proses!H17,"")</f>
        <v>Pengantar Teknologi Informasi</v>
      </c>
      <c r="I17" s="73">
        <f>IF(AND(Proses!$G17&lt;&gt;"",Proses!$H17&lt;&gt;"",Proses!$I17&lt;&gt;"",Proses!$J17&lt;&gt;""),Proses!I17,"")</f>
        <v>2</v>
      </c>
      <c r="J17" s="73" t="str">
        <f>IF(AND(Proses!$G17&lt;&gt;"",Proses!$H17&lt;&gt;"",Proses!$I17&lt;&gt;"",Proses!$J17&lt;&gt;""),Proses!J17,"")</f>
        <v>AB</v>
      </c>
    </row>
    <row r="18" spans="1:10" x14ac:dyDescent="0.25">
      <c r="A18" s="93">
        <v>7</v>
      </c>
      <c r="B18" s="94" t="s">
        <v>22</v>
      </c>
      <c r="C18" s="71" t="s">
        <v>23</v>
      </c>
      <c r="D18" s="94">
        <v>1</v>
      </c>
      <c r="E18" s="73">
        <f t="shared" si="0"/>
        <v>1</v>
      </c>
      <c r="F18" s="95" t="str">
        <f t="shared" si="1"/>
        <v>B</v>
      </c>
      <c r="G18" s="74" t="str">
        <f>IF(AND(Proses!$G18&lt;&gt;"",Proses!$H18&lt;&gt;"",Proses!$I18&lt;&gt;"",Proses!$J18&lt;&gt;""),Proses!G18,"")</f>
        <v>SI9301</v>
      </c>
      <c r="H18" s="77" t="str">
        <f>IF(AND(Proses!$G18&lt;&gt;"",Proses!$H18&lt;&gt;"",Proses!$I18&lt;&gt;"",Proses!$J18&lt;&gt;""),Proses!H18,"")</f>
        <v>Praktikum Pengantar Teknologi Informasi</v>
      </c>
      <c r="I18" s="73">
        <f>IF(AND(Proses!$G18&lt;&gt;"",Proses!$H18&lt;&gt;"",Proses!$I18&lt;&gt;"",Proses!$J18&lt;&gt;""),Proses!I18,"")</f>
        <v>1</v>
      </c>
      <c r="J18" s="73" t="str">
        <f>IF(AND(Proses!$G18&lt;&gt;"",Proses!$H18&lt;&gt;"",Proses!$I18&lt;&gt;"",Proses!$J18&lt;&gt;""),Proses!J18,"")</f>
        <v>B</v>
      </c>
    </row>
    <row r="19" spans="1:10" x14ac:dyDescent="0.25">
      <c r="A19" s="93">
        <v>8</v>
      </c>
      <c r="B19" s="94" t="s">
        <v>24</v>
      </c>
      <c r="C19" s="71" t="s">
        <v>25</v>
      </c>
      <c r="D19" s="94">
        <v>2</v>
      </c>
      <c r="E19" s="73">
        <f t="shared" si="0"/>
        <v>2</v>
      </c>
      <c r="F19" s="95" t="str">
        <f t="shared" si="1"/>
        <v>A</v>
      </c>
      <c r="G19" s="74" t="str">
        <f>IF(AND(Proses!$G19&lt;&gt;"",Proses!$H19&lt;&gt;"",Proses!$I19&lt;&gt;"",Proses!$J19&lt;&gt;""),Proses!G19,"")</f>
        <v>SI0102</v>
      </c>
      <c r="H19" s="77" t="str">
        <f>IF(AND(Proses!$G19&lt;&gt;"",Proses!$H19&lt;&gt;"",Proses!$I19&lt;&gt;"",Proses!$J19&lt;&gt;""),Proses!H19,"")</f>
        <v>Pancasila</v>
      </c>
      <c r="I19" s="73">
        <f>IF(AND(Proses!$G19&lt;&gt;"",Proses!$H19&lt;&gt;"",Proses!$I19&lt;&gt;"",Proses!$J19&lt;&gt;""),Proses!I19,"")</f>
        <v>2</v>
      </c>
      <c r="J19" s="73" t="str">
        <f>IF(AND(Proses!$G19&lt;&gt;"",Proses!$H19&lt;&gt;"",Proses!$I19&lt;&gt;"",Proses!$J19&lt;&gt;""),Proses!J19,"")</f>
        <v>A</v>
      </c>
    </row>
    <row r="20" spans="1:10" x14ac:dyDescent="0.25">
      <c r="A20" s="93">
        <v>9</v>
      </c>
      <c r="B20" s="94" t="s">
        <v>142</v>
      </c>
      <c r="C20" s="71" t="s">
        <v>26</v>
      </c>
      <c r="D20" s="94">
        <v>2</v>
      </c>
      <c r="E20" s="73" t="str">
        <f t="shared" si="0"/>
        <v/>
      </c>
      <c r="F20" s="95" t="str">
        <f t="shared" si="1"/>
        <v/>
      </c>
      <c r="G20" s="74" t="str">
        <f>IF(AND(Proses!$G20&lt;&gt;"",Proses!$H20&lt;&gt;"",Proses!$I20&lt;&gt;"",Proses!$J20&lt;&gt;""),Proses!G20,"")</f>
        <v/>
      </c>
      <c r="H20" s="77" t="str">
        <f>IF(AND(Proses!$G20&lt;&gt;"",Proses!$H20&lt;&gt;"",Proses!$I20&lt;&gt;"",Proses!$J20&lt;&gt;""),Proses!H20,"")</f>
        <v/>
      </c>
      <c r="I20" s="73" t="str">
        <f>IF(AND(Proses!$G20&lt;&gt;"",Proses!$H20&lt;&gt;"",Proses!$I20&lt;&gt;"",Proses!$J20&lt;&gt;""),Proses!I20,"")</f>
        <v/>
      </c>
      <c r="J20" s="73" t="str">
        <f>IF(AND(Proses!$G20&lt;&gt;"",Proses!$H20&lt;&gt;"",Proses!$I20&lt;&gt;"",Proses!$J20&lt;&gt;""),Proses!J20,"")</f>
        <v/>
      </c>
    </row>
    <row r="21" spans="1:10" x14ac:dyDescent="0.25">
      <c r="A21" s="111" t="s">
        <v>27</v>
      </c>
      <c r="B21" s="112"/>
      <c r="C21" s="113"/>
      <c r="D21" s="28">
        <f>SUM(D12:D20)</f>
        <v>18</v>
      </c>
      <c r="E21" s="43">
        <f>IF(Proses!E21 &lt;&gt;"",Proses!E21,"")</f>
        <v>16</v>
      </c>
      <c r="F21" s="101" t="str">
        <f>IF(Proses!F21 &lt;&gt;"",Proses!F21,"")</f>
        <v/>
      </c>
      <c r="G21" s="100" t="str">
        <f>IF(Proses!G21 &lt;&gt;"",Proses!G21,"")</f>
        <v/>
      </c>
      <c r="H21" s="44" t="str">
        <f>IF(Proses!H21 &lt;&gt;"",Proses!H21,"")</f>
        <v/>
      </c>
      <c r="I21" s="43" t="str">
        <f>IF(Proses!I21 &lt;&gt;"",Proses!I21,"")</f>
        <v/>
      </c>
      <c r="J21" s="43" t="str">
        <f>IF(Proses!J21 &lt;&gt;"",Proses!J21,"")</f>
        <v/>
      </c>
    </row>
    <row r="22" spans="1:10" x14ac:dyDescent="0.25">
      <c r="A22" s="6" t="s">
        <v>28</v>
      </c>
      <c r="B22" s="6"/>
      <c r="C22" s="6"/>
      <c r="D22" s="17"/>
      <c r="E22" s="43" t="str">
        <f>IF(Proses!E22 &lt;&gt;"",Proses!E22,"")</f>
        <v/>
      </c>
      <c r="F22" s="101" t="str">
        <f>IF(Proses!F22 &lt;&gt;"",Proses!F22,"")</f>
        <v/>
      </c>
      <c r="G22" s="100" t="str">
        <f>IF(Proses!G22 &lt;&gt;"",Proses!G22,"")</f>
        <v/>
      </c>
      <c r="H22" s="44" t="str">
        <f>IF(Proses!H22 &lt;&gt;"",Proses!H22,"")</f>
        <v/>
      </c>
      <c r="I22" s="43" t="str">
        <f>IF(Proses!I22 &lt;&gt;"",Proses!I22,"")</f>
        <v/>
      </c>
      <c r="J22" s="43" t="str">
        <f>IF(Proses!J22 &lt;&gt;"",Proses!J22,"")</f>
        <v/>
      </c>
    </row>
    <row r="23" spans="1:10" x14ac:dyDescent="0.25">
      <c r="A23" s="93">
        <v>1</v>
      </c>
      <c r="B23" s="94" t="s">
        <v>143</v>
      </c>
      <c r="C23" s="75" t="s">
        <v>30</v>
      </c>
      <c r="D23" s="94">
        <v>4</v>
      </c>
      <c r="E23" s="73">
        <f t="shared" ref="E23:E31" si="2">IF(AND($G23&lt;&gt;"",$H23&lt;&gt;"",$I23&lt;&gt;"",$J23&lt;&gt;""),$D23,"")</f>
        <v>4</v>
      </c>
      <c r="F23" s="95" t="str">
        <f t="shared" ref="F23:F31" si="3">IF(AND($G23&lt;&gt;"",$H23&lt;&gt;"",$I23&lt;&gt;"",$J23&lt;&gt;""),$J23,"")</f>
        <v>C</v>
      </c>
      <c r="G23" s="74" t="str">
        <f>IF(AND(Proses!$G23&lt;&gt;"",Proses!$H23&lt;&gt;"",Proses!$I23&lt;&gt;"",Proses!$J23&lt;&gt;""),Proses!G23,"")</f>
        <v>SI0204</v>
      </c>
      <c r="H23" s="77" t="str">
        <f>IF(AND(Proses!$G23&lt;&gt;"",Proses!$H23&lt;&gt;"",Proses!$I23&lt;&gt;"",Proses!$J23&lt;&gt;""),Proses!H23,"")</f>
        <v>Komunikasi Data</v>
      </c>
      <c r="I23" s="73">
        <f>IF(AND(Proses!$G23&lt;&gt;"",Proses!$H23&lt;&gt;"",Proses!$I23&lt;&gt;"",Proses!$J23&lt;&gt;""),Proses!I23,"")</f>
        <v>4</v>
      </c>
      <c r="J23" s="73" t="str">
        <f>IF(AND(Proses!$G23&lt;&gt;"",Proses!$H23&lt;&gt;"",Proses!$I23&lt;&gt;"",Proses!$J23&lt;&gt;""),Proses!J23,"")</f>
        <v>C</v>
      </c>
    </row>
    <row r="24" spans="1:10" x14ac:dyDescent="0.25">
      <c r="A24" s="93">
        <v>2</v>
      </c>
      <c r="B24" s="94" t="s">
        <v>29</v>
      </c>
      <c r="C24" s="75" t="s">
        <v>32</v>
      </c>
      <c r="D24" s="94">
        <v>2</v>
      </c>
      <c r="E24" s="73">
        <f t="shared" si="2"/>
        <v>2</v>
      </c>
      <c r="F24" s="95" t="str">
        <f t="shared" si="3"/>
        <v>B</v>
      </c>
      <c r="G24" s="74" t="str">
        <f>IF(AND(Proses!$G24&lt;&gt;"",Proses!$H24&lt;&gt;"",Proses!$I24&lt;&gt;"",Proses!$J24&lt;&gt;""),Proses!G24,"")</f>
        <v>SI0205</v>
      </c>
      <c r="H24" s="77" t="str">
        <f>IF(AND(Proses!$G24&lt;&gt;"",Proses!$H24&lt;&gt;"",Proses!$I24&lt;&gt;"",Proses!$J24&lt;&gt;""),Proses!H24,"")</f>
        <v>Basis Data</v>
      </c>
      <c r="I24" s="73">
        <f>IF(AND(Proses!$G24&lt;&gt;"",Proses!$H24&lt;&gt;"",Proses!$I24&lt;&gt;"",Proses!$J24&lt;&gt;""),Proses!I24,"")</f>
        <v>2</v>
      </c>
      <c r="J24" s="73" t="str">
        <f>IF(AND(Proses!$G24&lt;&gt;"",Proses!$H24&lt;&gt;"",Proses!$I24&lt;&gt;"",Proses!$J24&lt;&gt;""),Proses!J24,"")</f>
        <v>B</v>
      </c>
    </row>
    <row r="25" spans="1:10" x14ac:dyDescent="0.25">
      <c r="A25" s="93">
        <v>3</v>
      </c>
      <c r="B25" s="94" t="s">
        <v>144</v>
      </c>
      <c r="C25" s="75" t="s">
        <v>34</v>
      </c>
      <c r="D25" s="94">
        <v>1</v>
      </c>
      <c r="E25" s="73" t="str">
        <f t="shared" si="2"/>
        <v/>
      </c>
      <c r="F25" s="95" t="str">
        <f t="shared" si="3"/>
        <v/>
      </c>
      <c r="G25" s="74" t="str">
        <f>IF(AND(Proses!$G25&lt;&gt;"",Proses!$H25&lt;&gt;"",Proses!$I25&lt;&gt;"",Proses!$J25&lt;&gt;""),Proses!G25,"")</f>
        <v/>
      </c>
      <c r="H25" s="77" t="str">
        <f>IF(AND(Proses!$G25&lt;&gt;"",Proses!$H25&lt;&gt;"",Proses!$I25&lt;&gt;"",Proses!$J25&lt;&gt;""),Proses!H25,"")</f>
        <v/>
      </c>
      <c r="I25" s="73" t="str">
        <f>IF(AND(Proses!$G25&lt;&gt;"",Proses!$H25&lt;&gt;"",Proses!$I25&lt;&gt;"",Proses!$J25&lt;&gt;""),Proses!I25,"")</f>
        <v/>
      </c>
      <c r="J25" s="73" t="str">
        <f>IF(AND(Proses!$G25&lt;&gt;"",Proses!$H25&lt;&gt;"",Proses!$I25&lt;&gt;"",Proses!$J25&lt;&gt;""),Proses!J25,"")</f>
        <v/>
      </c>
    </row>
    <row r="26" spans="1:10" x14ac:dyDescent="0.25">
      <c r="A26" s="93">
        <v>4</v>
      </c>
      <c r="B26" s="94" t="s">
        <v>31</v>
      </c>
      <c r="C26" s="75" t="s">
        <v>36</v>
      </c>
      <c r="D26" s="94">
        <v>2</v>
      </c>
      <c r="E26" s="73">
        <f t="shared" si="2"/>
        <v>2</v>
      </c>
      <c r="F26" s="95" t="str">
        <f t="shared" si="3"/>
        <v>A</v>
      </c>
      <c r="G26" s="74" t="str">
        <f>IF(AND(Proses!$G26&lt;&gt;"",Proses!$H26&lt;&gt;"",Proses!$I26&lt;&gt;"",Proses!$J26&lt;&gt;""),Proses!G26,"")</f>
        <v>SI0206</v>
      </c>
      <c r="H26" s="77" t="str">
        <f>IF(AND(Proses!$G26&lt;&gt;"",Proses!$H26&lt;&gt;"",Proses!$I26&lt;&gt;"",Proses!$J26&lt;&gt;""),Proses!H26,"")</f>
        <v>Struktur Data</v>
      </c>
      <c r="I26" s="73">
        <f>IF(AND(Proses!$G26&lt;&gt;"",Proses!$H26&lt;&gt;"",Proses!$I26&lt;&gt;"",Proses!$J26&lt;&gt;""),Proses!I26,"")</f>
        <v>2</v>
      </c>
      <c r="J26" s="73" t="str">
        <f>IF(AND(Proses!$G26&lt;&gt;"",Proses!$H26&lt;&gt;"",Proses!$I26&lt;&gt;"",Proses!$J26&lt;&gt;""),Proses!J26,"")</f>
        <v>A</v>
      </c>
    </row>
    <row r="27" spans="1:10" x14ac:dyDescent="0.25">
      <c r="A27" s="93">
        <v>5</v>
      </c>
      <c r="B27" s="94" t="s">
        <v>33</v>
      </c>
      <c r="C27" s="75" t="s">
        <v>38</v>
      </c>
      <c r="D27" s="94">
        <v>1</v>
      </c>
      <c r="E27" s="73">
        <f t="shared" si="2"/>
        <v>1</v>
      </c>
      <c r="F27" s="95" t="str">
        <f t="shared" si="3"/>
        <v>C</v>
      </c>
      <c r="G27" s="74" t="str">
        <f>IF(AND(Proses!$G27&lt;&gt;"",Proses!$H27&lt;&gt;"",Proses!$I27&lt;&gt;"",Proses!$J27&lt;&gt;""),Proses!G27,"")</f>
        <v>SI0303</v>
      </c>
      <c r="H27" s="77" t="str">
        <f>IF(AND(Proses!$G27&lt;&gt;"",Proses!$H27&lt;&gt;"",Proses!$I27&lt;&gt;"",Proses!$J27&lt;&gt;""),Proses!H27,"")</f>
        <v>Praktikum Struktur Data</v>
      </c>
      <c r="I27" s="73">
        <f>IF(AND(Proses!$G27&lt;&gt;"",Proses!$H27&lt;&gt;"",Proses!$I27&lt;&gt;"",Proses!$J27&lt;&gt;""),Proses!I27,"")</f>
        <v>1</v>
      </c>
      <c r="J27" s="73" t="str">
        <f>IF(AND(Proses!$G27&lt;&gt;"",Proses!$H27&lt;&gt;"",Proses!$I27&lt;&gt;"",Proses!$J27&lt;&gt;""),Proses!J27,"")</f>
        <v>C</v>
      </c>
    </row>
    <row r="28" spans="1:10" x14ac:dyDescent="0.25">
      <c r="A28" s="93">
        <v>6</v>
      </c>
      <c r="B28" s="94" t="s">
        <v>145</v>
      </c>
      <c r="C28" s="75" t="s">
        <v>39</v>
      </c>
      <c r="D28" s="94">
        <v>2</v>
      </c>
      <c r="E28" s="73">
        <f t="shared" si="2"/>
        <v>2</v>
      </c>
      <c r="F28" s="95" t="str">
        <f t="shared" si="3"/>
        <v>C</v>
      </c>
      <c r="G28" s="74" t="str">
        <f>IF(AND(Proses!$G28&lt;&gt;"",Proses!$H28&lt;&gt;"",Proses!$I28&lt;&gt;"",Proses!$J28&lt;&gt;""),Proses!G28,"")</f>
        <v>SI9207</v>
      </c>
      <c r="H28" s="77" t="str">
        <f>IF(AND(Proses!$G28&lt;&gt;"",Proses!$H28&lt;&gt;"",Proses!$I28&lt;&gt;"",Proses!$J28&lt;&gt;""),Proses!H28,"")</f>
        <v>Organisasi Komputer</v>
      </c>
      <c r="I28" s="73">
        <f>IF(AND(Proses!$G28&lt;&gt;"",Proses!$H28&lt;&gt;"",Proses!$I28&lt;&gt;"",Proses!$J28&lt;&gt;""),Proses!I28,"")</f>
        <v>2</v>
      </c>
      <c r="J28" s="73" t="str">
        <f>IF(AND(Proses!$G28&lt;&gt;"",Proses!$H28&lt;&gt;"",Proses!$I28&lt;&gt;"",Proses!$J28&lt;&gt;""),Proses!J28,"")</f>
        <v>C</v>
      </c>
    </row>
    <row r="29" spans="1:10" x14ac:dyDescent="0.25">
      <c r="A29" s="93">
        <v>7</v>
      </c>
      <c r="B29" s="94" t="s">
        <v>40</v>
      </c>
      <c r="C29" s="75" t="s">
        <v>41</v>
      </c>
      <c r="D29" s="94">
        <v>2</v>
      </c>
      <c r="E29" s="73" t="str">
        <f t="shared" si="2"/>
        <v/>
      </c>
      <c r="F29" s="95" t="str">
        <f t="shared" si="3"/>
        <v/>
      </c>
      <c r="G29" s="74" t="str">
        <f>IF(AND(Proses!$G29&lt;&gt;"",Proses!$H29&lt;&gt;"",Proses!$I29&lt;&gt;"",Proses!$J29&lt;&gt;""),Proses!G29,"")</f>
        <v/>
      </c>
      <c r="H29" s="77" t="str">
        <f>IF(AND(Proses!$G29&lt;&gt;"",Proses!$H29&lt;&gt;"",Proses!$I29&lt;&gt;"",Proses!$J29&lt;&gt;""),Proses!H29,"")</f>
        <v/>
      </c>
      <c r="I29" s="73" t="str">
        <f>IF(AND(Proses!$G29&lt;&gt;"",Proses!$H29&lt;&gt;"",Proses!$I29&lt;&gt;"",Proses!$J29&lt;&gt;""),Proses!I29,"")</f>
        <v/>
      </c>
      <c r="J29" s="73" t="str">
        <f>IF(AND(Proses!$G29&lt;&gt;"",Proses!$H29&lt;&gt;"",Proses!$I29&lt;&gt;"",Proses!$J29&lt;&gt;""),Proses!J29,"")</f>
        <v/>
      </c>
    </row>
    <row r="30" spans="1:10" x14ac:dyDescent="0.25">
      <c r="A30" s="93">
        <v>8</v>
      </c>
      <c r="B30" s="94" t="s">
        <v>42</v>
      </c>
      <c r="C30" s="75" t="s">
        <v>43</v>
      </c>
      <c r="D30" s="94">
        <v>2</v>
      </c>
      <c r="E30" s="73" t="str">
        <f t="shared" si="2"/>
        <v/>
      </c>
      <c r="F30" s="95" t="str">
        <f t="shared" si="3"/>
        <v/>
      </c>
      <c r="G30" s="74" t="str">
        <f>IF(AND(Proses!$G30&lt;&gt;"",Proses!$H30&lt;&gt;"",Proses!$I30&lt;&gt;"",Proses!$J30&lt;&gt;""),Proses!G30,"")</f>
        <v/>
      </c>
      <c r="H30" s="77" t="str">
        <f>IF(AND(Proses!$G30&lt;&gt;"",Proses!$H30&lt;&gt;"",Proses!$I30&lt;&gt;"",Proses!$J30&lt;&gt;""),Proses!H30,"")</f>
        <v/>
      </c>
      <c r="I30" s="73" t="str">
        <f>IF(AND(Proses!$G30&lt;&gt;"",Proses!$H30&lt;&gt;"",Proses!$I30&lt;&gt;"",Proses!$J30&lt;&gt;""),Proses!I30,"")</f>
        <v/>
      </c>
      <c r="J30" s="73" t="str">
        <f>IF(AND(Proses!$G30&lt;&gt;"",Proses!$H30&lt;&gt;"",Proses!$I30&lt;&gt;"",Proses!$J30&lt;&gt;""),Proses!J30,"")</f>
        <v/>
      </c>
    </row>
    <row r="31" spans="1:10" x14ac:dyDescent="0.25">
      <c r="A31" s="93">
        <v>9</v>
      </c>
      <c r="B31" s="94" t="s">
        <v>44</v>
      </c>
      <c r="C31" s="75" t="s">
        <v>45</v>
      </c>
      <c r="D31" s="94">
        <v>2</v>
      </c>
      <c r="E31" s="73" t="str">
        <f t="shared" si="2"/>
        <v/>
      </c>
      <c r="F31" s="95" t="str">
        <f t="shared" si="3"/>
        <v/>
      </c>
      <c r="G31" s="74" t="str">
        <f>IF(AND(Proses!$G31&lt;&gt;"",Proses!$H31&lt;&gt;"",Proses!$I31&lt;&gt;"",Proses!$J31&lt;&gt;""),Proses!G31,"")</f>
        <v/>
      </c>
      <c r="H31" s="77" t="str">
        <f>IF(AND(Proses!$G31&lt;&gt;"",Proses!$H31&lt;&gt;"",Proses!$I31&lt;&gt;"",Proses!$J31&lt;&gt;""),Proses!H31,"")</f>
        <v/>
      </c>
      <c r="I31" s="73" t="str">
        <f>IF(AND(Proses!$G31&lt;&gt;"",Proses!$H31&lt;&gt;"",Proses!$I31&lt;&gt;"",Proses!$J31&lt;&gt;""),Proses!I31,"")</f>
        <v/>
      </c>
      <c r="J31" s="73" t="str">
        <f>IF(AND(Proses!$G31&lt;&gt;"",Proses!$H31&lt;&gt;"",Proses!$I31&lt;&gt;"",Proses!$J31&lt;&gt;""),Proses!J31,"")</f>
        <v/>
      </c>
    </row>
    <row r="32" spans="1:10" x14ac:dyDescent="0.25">
      <c r="A32" s="114" t="s">
        <v>27</v>
      </c>
      <c r="B32" s="115"/>
      <c r="C32" s="116"/>
      <c r="D32" s="23">
        <f>SUM(D23:D31)</f>
        <v>18</v>
      </c>
      <c r="E32" s="43">
        <f>IF(Proses!E32 &lt;&gt;"",Proses!E32,"")</f>
        <v>11</v>
      </c>
      <c r="F32" s="101" t="str">
        <f>IF(Proses!F32 &lt;&gt;"",Proses!F32,"")</f>
        <v/>
      </c>
      <c r="G32" s="100" t="str">
        <f>IF(Proses!G32 &lt;&gt;"",Proses!G32,"")</f>
        <v/>
      </c>
      <c r="H32" s="44" t="str">
        <f>IF(Proses!H32 &lt;&gt;"",Proses!H32,"")</f>
        <v/>
      </c>
      <c r="I32" s="43" t="str">
        <f>IF(Proses!I32 &lt;&gt;"",Proses!I32,"")</f>
        <v/>
      </c>
      <c r="J32" s="43" t="str">
        <f>IF(Proses!J32 &lt;&gt;"",Proses!J32,"")</f>
        <v/>
      </c>
    </row>
    <row r="33" spans="1:10" x14ac:dyDescent="0.25">
      <c r="A33" s="6" t="s">
        <v>46</v>
      </c>
      <c r="B33" s="6"/>
      <c r="C33" s="6"/>
      <c r="D33" s="17"/>
      <c r="E33" s="43" t="str">
        <f>IF(Proses!E33 &lt;&gt;"",Proses!E33,"")</f>
        <v/>
      </c>
      <c r="F33" s="101" t="str">
        <f>IF(Proses!F33 &lt;&gt;"",Proses!F33,"")</f>
        <v/>
      </c>
      <c r="G33" s="100" t="str">
        <f>IF(Proses!G33 &lt;&gt;"",Proses!G33,"")</f>
        <v/>
      </c>
      <c r="H33" s="44" t="str">
        <f>IF(Proses!H33 &lt;&gt;"",Proses!H33,"")</f>
        <v/>
      </c>
      <c r="I33" s="43" t="str">
        <f>IF(Proses!I33 &lt;&gt;"",Proses!I33,"")</f>
        <v/>
      </c>
      <c r="J33" s="43" t="str">
        <f>IF(Proses!J33 &lt;&gt;"",Proses!J33,"")</f>
        <v/>
      </c>
    </row>
    <row r="34" spans="1:10" x14ac:dyDescent="0.25">
      <c r="A34" s="93">
        <v>1</v>
      </c>
      <c r="B34" s="94" t="s">
        <v>35</v>
      </c>
      <c r="C34" s="71" t="s">
        <v>48</v>
      </c>
      <c r="D34" s="94">
        <v>2</v>
      </c>
      <c r="E34" s="73">
        <f t="shared" ref="E34:E40" si="4">IF(AND($G34&lt;&gt;"",$H34&lt;&gt;"",$I34&lt;&gt;"",$J34&lt;&gt;""),$D34,"")</f>
        <v>2</v>
      </c>
      <c r="F34" s="95" t="str">
        <f t="shared" ref="F34:F40" si="5">IF(AND($G34&lt;&gt;"",$H34&lt;&gt;"",$I34&lt;&gt;"",$J34&lt;&gt;""),$J34,"")</f>
        <v>BC</v>
      </c>
      <c r="G34" s="74" t="str">
        <f>IF(AND(Proses!$G34&lt;&gt;"",Proses!$H34&lt;&gt;"",Proses!$I34&lt;&gt;"",Proses!$J34&lt;&gt;""),Proses!G34,"")</f>
        <v>SI0209</v>
      </c>
      <c r="H34" s="77" t="str">
        <f>IF(AND(Proses!$G34&lt;&gt;"",Proses!$H34&lt;&gt;"",Proses!$I34&lt;&gt;"",Proses!$J34&lt;&gt;""),Proses!H34,"")</f>
        <v xml:space="preserve">Jaringan Komputer </v>
      </c>
      <c r="I34" s="73">
        <f>IF(AND(Proses!$G34&lt;&gt;"",Proses!$H34&lt;&gt;"",Proses!$I34&lt;&gt;"",Proses!$J34&lt;&gt;""),Proses!I34,"")</f>
        <v>2</v>
      </c>
      <c r="J34" s="73" t="str">
        <f>IF(AND(Proses!$G34&lt;&gt;"",Proses!$H34&lt;&gt;"",Proses!$I34&lt;&gt;"",Proses!$J34&lt;&gt;""),Proses!J34,"")</f>
        <v>BC</v>
      </c>
    </row>
    <row r="35" spans="1:10" x14ac:dyDescent="0.25">
      <c r="A35" s="93">
        <v>2</v>
      </c>
      <c r="B35" s="94" t="s">
        <v>49</v>
      </c>
      <c r="C35" s="71" t="s">
        <v>50</v>
      </c>
      <c r="D35" s="94">
        <v>1</v>
      </c>
      <c r="E35" s="73">
        <f t="shared" si="4"/>
        <v>1</v>
      </c>
      <c r="F35" s="95" t="str">
        <f t="shared" si="5"/>
        <v>AB</v>
      </c>
      <c r="G35" s="74" t="str">
        <f>IF(AND(Proses!$G35&lt;&gt;"",Proses!$H35&lt;&gt;"",Proses!$I35&lt;&gt;"",Proses!$J35&lt;&gt;""),Proses!G35,"")</f>
        <v>SI0305</v>
      </c>
      <c r="H35" s="77" t="str">
        <f>IF(AND(Proses!$G35&lt;&gt;"",Proses!$H35&lt;&gt;"",Proses!$I35&lt;&gt;"",Proses!$J35&lt;&gt;""),Proses!H35,"")</f>
        <v xml:space="preserve">Praktikum Jaringan Komputer </v>
      </c>
      <c r="I35" s="73">
        <f>IF(AND(Proses!$G35&lt;&gt;"",Proses!$H35&lt;&gt;"",Proses!$I35&lt;&gt;"",Proses!$J35&lt;&gt;""),Proses!I35,"")</f>
        <v>1</v>
      </c>
      <c r="J35" s="73" t="str">
        <f>IF(AND(Proses!$G35&lt;&gt;"",Proses!$H35&lt;&gt;"",Proses!$I35&lt;&gt;"",Proses!$J35&lt;&gt;""),Proses!J35,"")</f>
        <v>AB</v>
      </c>
    </row>
    <row r="36" spans="1:10" x14ac:dyDescent="0.25">
      <c r="A36" s="93">
        <v>3</v>
      </c>
      <c r="B36" s="94" t="s">
        <v>51</v>
      </c>
      <c r="C36" s="71" t="s">
        <v>52</v>
      </c>
      <c r="D36" s="94">
        <v>4</v>
      </c>
      <c r="E36" s="73">
        <f t="shared" si="4"/>
        <v>4</v>
      </c>
      <c r="F36" s="95" t="str">
        <f t="shared" si="5"/>
        <v>BC</v>
      </c>
      <c r="G36" s="74" t="str">
        <f>IF(AND(Proses!$G36&lt;&gt;"",Proses!$H36&lt;&gt;"",Proses!$I36&lt;&gt;"",Proses!$J36&lt;&gt;""),Proses!G36,"")</f>
        <v>SI0306</v>
      </c>
      <c r="H36" s="77" t="str">
        <f>IF(AND(Proses!$G36&lt;&gt;"",Proses!$H36&lt;&gt;"",Proses!$I36&lt;&gt;"",Proses!$J36&lt;&gt;""),Proses!H36,"")</f>
        <v>Perancangan Web</v>
      </c>
      <c r="I36" s="73">
        <f>IF(AND(Proses!$G36&lt;&gt;"",Proses!$H36&lt;&gt;"",Proses!$I36&lt;&gt;"",Proses!$J36&lt;&gt;""),Proses!I36,"")</f>
        <v>4</v>
      </c>
      <c r="J36" s="73" t="str">
        <f>IF(AND(Proses!$G36&lt;&gt;"",Proses!$H36&lt;&gt;"",Proses!$I36&lt;&gt;"",Proses!$J36&lt;&gt;""),Proses!J36,"")</f>
        <v>BC</v>
      </c>
    </row>
    <row r="37" spans="1:10" x14ac:dyDescent="0.25">
      <c r="A37" s="93">
        <v>4</v>
      </c>
      <c r="B37" s="94" t="s">
        <v>146</v>
      </c>
      <c r="C37" s="71" t="s">
        <v>53</v>
      </c>
      <c r="D37" s="94">
        <v>4</v>
      </c>
      <c r="E37" s="73" t="str">
        <f t="shared" si="4"/>
        <v/>
      </c>
      <c r="F37" s="95" t="str">
        <f t="shared" si="5"/>
        <v/>
      </c>
      <c r="G37" s="74" t="str">
        <f>IF(AND(Proses!$G37&lt;&gt;"",Proses!$H37&lt;&gt;"",Proses!$I37&lt;&gt;"",Proses!$J37&lt;&gt;""),Proses!G37,"")</f>
        <v/>
      </c>
      <c r="H37" s="77" t="str">
        <f>IF(AND(Proses!$G37&lt;&gt;"",Proses!$H37&lt;&gt;"",Proses!$I37&lt;&gt;"",Proses!$J37&lt;&gt;""),Proses!H37,"")</f>
        <v/>
      </c>
      <c r="I37" s="73" t="str">
        <f>IF(AND(Proses!$G37&lt;&gt;"",Proses!$H37&lt;&gt;"",Proses!$I37&lt;&gt;"",Proses!$J37&lt;&gt;""),Proses!I37,"")</f>
        <v/>
      </c>
      <c r="J37" s="73" t="str">
        <f>IF(AND(Proses!$G37&lt;&gt;"",Proses!$H37&lt;&gt;"",Proses!$I37&lt;&gt;"",Proses!$J37&lt;&gt;""),Proses!J37,"")</f>
        <v/>
      </c>
    </row>
    <row r="38" spans="1:10" x14ac:dyDescent="0.25">
      <c r="A38" s="93">
        <v>5</v>
      </c>
      <c r="B38" s="94" t="s">
        <v>54</v>
      </c>
      <c r="C38" s="71" t="s">
        <v>55</v>
      </c>
      <c r="D38" s="94">
        <v>4</v>
      </c>
      <c r="E38" s="73" t="str">
        <f t="shared" si="4"/>
        <v/>
      </c>
      <c r="F38" s="95" t="str">
        <f t="shared" si="5"/>
        <v/>
      </c>
      <c r="G38" s="74" t="str">
        <f>IF(AND(Proses!$G38&lt;&gt;"",Proses!$H38&lt;&gt;"",Proses!$I38&lt;&gt;"",Proses!$J38&lt;&gt;""),Proses!G38,"")</f>
        <v/>
      </c>
      <c r="H38" s="77" t="str">
        <f>IF(AND(Proses!$G38&lt;&gt;"",Proses!$H38&lt;&gt;"",Proses!$I38&lt;&gt;"",Proses!$J38&lt;&gt;""),Proses!H38,"")</f>
        <v/>
      </c>
      <c r="I38" s="73" t="str">
        <f>IF(AND(Proses!$G38&lt;&gt;"",Proses!$H38&lt;&gt;"",Proses!$I38&lt;&gt;"",Proses!$J38&lt;&gt;""),Proses!I38,"")</f>
        <v/>
      </c>
      <c r="J38" s="73" t="str">
        <f>IF(AND(Proses!$G38&lt;&gt;"",Proses!$H38&lt;&gt;"",Proses!$I38&lt;&gt;"",Proses!$J38&lt;&gt;""),Proses!J38,"")</f>
        <v/>
      </c>
    </row>
    <row r="39" spans="1:10" x14ac:dyDescent="0.25">
      <c r="A39" s="93">
        <v>6</v>
      </c>
      <c r="B39" s="94" t="s">
        <v>75</v>
      </c>
      <c r="C39" s="71" t="s">
        <v>56</v>
      </c>
      <c r="D39" s="94">
        <v>2</v>
      </c>
      <c r="E39" s="73" t="str">
        <f t="shared" si="4"/>
        <v/>
      </c>
      <c r="F39" s="95" t="str">
        <f t="shared" si="5"/>
        <v/>
      </c>
      <c r="G39" s="74" t="str">
        <f>IF(AND(Proses!$G39&lt;&gt;"",Proses!$H39&lt;&gt;"",Proses!$I39&lt;&gt;"",Proses!$J39&lt;&gt;""),Proses!G39,"")</f>
        <v/>
      </c>
      <c r="H39" s="77" t="str">
        <f>IF(AND(Proses!$G39&lt;&gt;"",Proses!$H39&lt;&gt;"",Proses!$I39&lt;&gt;"",Proses!$J39&lt;&gt;""),Proses!H39,"")</f>
        <v/>
      </c>
      <c r="I39" s="73" t="str">
        <f>IF(AND(Proses!$G39&lt;&gt;"",Proses!$H39&lt;&gt;"",Proses!$I39&lt;&gt;"",Proses!$J39&lt;&gt;""),Proses!I39,"")</f>
        <v/>
      </c>
      <c r="J39" s="73" t="str">
        <f>IF(AND(Proses!$G39&lt;&gt;"",Proses!$H39&lt;&gt;"",Proses!$I39&lt;&gt;"",Proses!$J39&lt;&gt;""),Proses!J39,"")</f>
        <v/>
      </c>
    </row>
    <row r="40" spans="1:10" x14ac:dyDescent="0.25">
      <c r="A40" s="93">
        <v>7</v>
      </c>
      <c r="B40" s="94" t="s">
        <v>147</v>
      </c>
      <c r="C40" s="71" t="s">
        <v>57</v>
      </c>
      <c r="D40" s="94">
        <v>2</v>
      </c>
      <c r="E40" s="73" t="str">
        <f t="shared" si="4"/>
        <v/>
      </c>
      <c r="F40" s="95" t="str">
        <f t="shared" si="5"/>
        <v/>
      </c>
      <c r="G40" s="74" t="str">
        <f>IF(AND(Proses!$G40&lt;&gt;"",Proses!$H40&lt;&gt;"",Proses!$I40&lt;&gt;"",Proses!$J40&lt;&gt;""),Proses!G40,"")</f>
        <v/>
      </c>
      <c r="H40" s="77" t="str">
        <f>IF(AND(Proses!$G40&lt;&gt;"",Proses!$H40&lt;&gt;"",Proses!$I40&lt;&gt;"",Proses!$J40&lt;&gt;""),Proses!H40,"")</f>
        <v/>
      </c>
      <c r="I40" s="73" t="str">
        <f>IF(AND(Proses!$G40&lt;&gt;"",Proses!$H40&lt;&gt;"",Proses!$I40&lt;&gt;"",Proses!$J40&lt;&gt;""),Proses!I40,"")</f>
        <v/>
      </c>
      <c r="J40" s="73" t="str">
        <f>IF(AND(Proses!$G40&lt;&gt;"",Proses!$H40&lt;&gt;"",Proses!$I40&lt;&gt;"",Proses!$J40&lt;&gt;""),Proses!J40,"")</f>
        <v/>
      </c>
    </row>
    <row r="41" spans="1:10" x14ac:dyDescent="0.25">
      <c r="A41" s="114" t="s">
        <v>27</v>
      </c>
      <c r="B41" s="115"/>
      <c r="C41" s="116"/>
      <c r="D41" s="23">
        <f>SUM(D34:D40)</f>
        <v>19</v>
      </c>
      <c r="E41" s="43">
        <f>IF(Proses!E41 &lt;&gt;"",Proses!E41,"")</f>
        <v>7</v>
      </c>
      <c r="F41" s="101" t="str">
        <f>IF(Proses!F41 &lt;&gt;"",Proses!F41,"")</f>
        <v/>
      </c>
      <c r="G41" s="100" t="str">
        <f>IF(Proses!G41 &lt;&gt;"",Proses!G41,"")</f>
        <v/>
      </c>
      <c r="H41" s="44" t="str">
        <f>IF(Proses!H41 &lt;&gt;"",Proses!H41,"")</f>
        <v/>
      </c>
      <c r="I41" s="43" t="str">
        <f>IF(Proses!I41 &lt;&gt;"",Proses!I41,"")</f>
        <v/>
      </c>
      <c r="J41" s="43" t="str">
        <f>IF(Proses!J41 &lt;&gt;"",Proses!J41,"")</f>
        <v/>
      </c>
    </row>
    <row r="42" spans="1:10" x14ac:dyDescent="0.25">
      <c r="A42" s="6" t="s">
        <v>58</v>
      </c>
      <c r="B42" s="6"/>
      <c r="C42" s="6"/>
      <c r="D42" s="17"/>
      <c r="E42" s="43" t="str">
        <f>IF(Proses!E42 &lt;&gt;"",Proses!E42,"")</f>
        <v/>
      </c>
      <c r="F42" s="101" t="str">
        <f>IF(Proses!F42 &lt;&gt;"",Proses!F42,"")</f>
        <v/>
      </c>
      <c r="G42" s="100" t="str">
        <f>IF(Proses!G42 &lt;&gt;"",Proses!G42,"")</f>
        <v/>
      </c>
      <c r="H42" s="44" t="str">
        <f>IF(Proses!H42 &lt;&gt;"",Proses!H42,"")</f>
        <v/>
      </c>
      <c r="I42" s="43" t="str">
        <f>IF(Proses!I42 &lt;&gt;"",Proses!I42,"")</f>
        <v/>
      </c>
      <c r="J42" s="43" t="str">
        <f>IF(Proses!J42 &lt;&gt;"",Proses!J42,"")</f>
        <v/>
      </c>
    </row>
    <row r="43" spans="1:10" x14ac:dyDescent="0.25">
      <c r="A43" s="93">
        <v>1</v>
      </c>
      <c r="B43" s="94" t="s">
        <v>148</v>
      </c>
      <c r="C43" s="71" t="s">
        <v>60</v>
      </c>
      <c r="D43" s="94">
        <v>2</v>
      </c>
      <c r="E43" s="73" t="str">
        <f t="shared" ref="E43:E49" si="6">IF(AND($G43&lt;&gt;"",$H43&lt;&gt;"",$I43&lt;&gt;"",$J43&lt;&gt;""),$D43,"")</f>
        <v/>
      </c>
      <c r="F43" s="95" t="str">
        <f t="shared" ref="F43:F49" si="7">IF(AND($G43&lt;&gt;"",$H43&lt;&gt;"",$I43&lt;&gt;"",$J43&lt;&gt;""),$J43,"")</f>
        <v/>
      </c>
      <c r="G43" s="74" t="str">
        <f>IF(AND(Proses!$G43&lt;&gt;"",Proses!$H43&lt;&gt;"",Proses!$I43&lt;&gt;"",Proses!$J43&lt;&gt;""),Proses!G43,"")</f>
        <v/>
      </c>
      <c r="H43" s="77" t="str">
        <f>IF(AND(Proses!$G43&lt;&gt;"",Proses!$H43&lt;&gt;"",Proses!$I43&lt;&gt;"",Proses!$J43&lt;&gt;""),Proses!H43,"")</f>
        <v/>
      </c>
      <c r="I43" s="73" t="str">
        <f>IF(AND(Proses!$G43&lt;&gt;"",Proses!$H43&lt;&gt;"",Proses!$I43&lt;&gt;"",Proses!$J43&lt;&gt;""),Proses!I43,"")</f>
        <v/>
      </c>
      <c r="J43" s="73" t="str">
        <f>IF(AND(Proses!$G43&lt;&gt;"",Proses!$H43&lt;&gt;"",Proses!$I43&lt;&gt;"",Proses!$J43&lt;&gt;""),Proses!J43,"")</f>
        <v/>
      </c>
    </row>
    <row r="44" spans="1:10" x14ac:dyDescent="0.25">
      <c r="A44" s="93">
        <v>2</v>
      </c>
      <c r="B44" s="94" t="s">
        <v>61</v>
      </c>
      <c r="C44" s="75" t="s">
        <v>62</v>
      </c>
      <c r="D44" s="94">
        <v>2</v>
      </c>
      <c r="E44" s="73" t="str">
        <f t="shared" si="6"/>
        <v/>
      </c>
      <c r="F44" s="95" t="str">
        <f t="shared" si="7"/>
        <v/>
      </c>
      <c r="G44" s="74" t="str">
        <f>IF(AND(Proses!$G44&lt;&gt;"",Proses!$H44&lt;&gt;"",Proses!$I44&lt;&gt;"",Proses!$J44&lt;&gt;""),Proses!G44,"")</f>
        <v/>
      </c>
      <c r="H44" s="77" t="str">
        <f>IF(AND(Proses!$G44&lt;&gt;"",Proses!$H44&lt;&gt;"",Proses!$I44&lt;&gt;"",Proses!$J44&lt;&gt;""),Proses!H44,"")</f>
        <v/>
      </c>
      <c r="I44" s="73" t="str">
        <f>IF(AND(Proses!$G44&lt;&gt;"",Proses!$H44&lt;&gt;"",Proses!$I44&lt;&gt;"",Proses!$J44&lt;&gt;""),Proses!I44,"")</f>
        <v/>
      </c>
      <c r="J44" s="73" t="str">
        <f>IF(AND(Proses!$G44&lt;&gt;"",Proses!$H44&lt;&gt;"",Proses!$I44&lt;&gt;"",Proses!$J44&lt;&gt;""),Proses!J44,"")</f>
        <v/>
      </c>
    </row>
    <row r="45" spans="1:10" x14ac:dyDescent="0.25">
      <c r="A45" s="93">
        <v>3</v>
      </c>
      <c r="B45" s="94" t="s">
        <v>149</v>
      </c>
      <c r="C45" s="75" t="s">
        <v>64</v>
      </c>
      <c r="D45" s="94">
        <v>2</v>
      </c>
      <c r="E45" s="73" t="str">
        <f t="shared" si="6"/>
        <v/>
      </c>
      <c r="F45" s="95" t="str">
        <f t="shared" si="7"/>
        <v/>
      </c>
      <c r="G45" s="74" t="str">
        <f>IF(AND(Proses!$G45&lt;&gt;"",Proses!$H45&lt;&gt;"",Proses!$I45&lt;&gt;"",Proses!$J45&lt;&gt;""),Proses!G45,"")</f>
        <v/>
      </c>
      <c r="H45" s="77" t="str">
        <f>IF(AND(Proses!$G45&lt;&gt;"",Proses!$H45&lt;&gt;"",Proses!$I45&lt;&gt;"",Proses!$J45&lt;&gt;""),Proses!H45,"")</f>
        <v/>
      </c>
      <c r="I45" s="73" t="str">
        <f>IF(AND(Proses!$G45&lt;&gt;"",Proses!$H45&lt;&gt;"",Proses!$I45&lt;&gt;"",Proses!$J45&lt;&gt;""),Proses!I45,"")</f>
        <v/>
      </c>
      <c r="J45" s="73" t="str">
        <f>IF(AND(Proses!$G45&lt;&gt;"",Proses!$H45&lt;&gt;"",Proses!$I45&lt;&gt;"",Proses!$J45&lt;&gt;""),Proses!J45,"")</f>
        <v/>
      </c>
    </row>
    <row r="46" spans="1:10" x14ac:dyDescent="0.25">
      <c r="A46" s="93">
        <v>4</v>
      </c>
      <c r="B46" s="94" t="s">
        <v>65</v>
      </c>
      <c r="C46" s="71" t="s">
        <v>66</v>
      </c>
      <c r="D46" s="94">
        <v>2</v>
      </c>
      <c r="E46" s="73" t="str">
        <f t="shared" si="6"/>
        <v/>
      </c>
      <c r="F46" s="95" t="str">
        <f t="shared" si="7"/>
        <v/>
      </c>
      <c r="G46" s="74" t="str">
        <f>IF(AND(Proses!$G46&lt;&gt;"",Proses!$H46&lt;&gt;"",Proses!$I46&lt;&gt;"",Proses!$J46&lt;&gt;""),Proses!G46,"")</f>
        <v/>
      </c>
      <c r="H46" s="77" t="str">
        <f>IF(AND(Proses!$G46&lt;&gt;"",Proses!$H46&lt;&gt;"",Proses!$I46&lt;&gt;"",Proses!$J46&lt;&gt;""),Proses!H46,"")</f>
        <v/>
      </c>
      <c r="I46" s="73" t="str">
        <f>IF(AND(Proses!$G46&lt;&gt;"",Proses!$H46&lt;&gt;"",Proses!$I46&lt;&gt;"",Proses!$J46&lt;&gt;""),Proses!I46,"")</f>
        <v/>
      </c>
      <c r="J46" s="73" t="str">
        <f>IF(AND(Proses!$G46&lt;&gt;"",Proses!$H46&lt;&gt;"",Proses!$I46&lt;&gt;"",Proses!$J46&lt;&gt;""),Proses!J46,"")</f>
        <v/>
      </c>
    </row>
    <row r="47" spans="1:10" x14ac:dyDescent="0.25">
      <c r="A47" s="93">
        <v>5</v>
      </c>
      <c r="B47" s="94" t="s">
        <v>67</v>
      </c>
      <c r="C47" s="71" t="s">
        <v>68</v>
      </c>
      <c r="D47" s="94">
        <v>4</v>
      </c>
      <c r="E47" s="73" t="str">
        <f t="shared" si="6"/>
        <v/>
      </c>
      <c r="F47" s="95" t="str">
        <f t="shared" si="7"/>
        <v/>
      </c>
      <c r="G47" s="74" t="str">
        <f>IF(AND(Proses!$G47&lt;&gt;"",Proses!$H47&lt;&gt;"",Proses!$I47&lt;&gt;"",Proses!$J47&lt;&gt;""),Proses!G47,"")</f>
        <v/>
      </c>
      <c r="H47" s="77" t="str">
        <f>IF(AND(Proses!$G47&lt;&gt;"",Proses!$H47&lt;&gt;"",Proses!$I47&lt;&gt;"",Proses!$J47&lt;&gt;""),Proses!H47,"")</f>
        <v/>
      </c>
      <c r="I47" s="73" t="str">
        <f>IF(AND(Proses!$G47&lt;&gt;"",Proses!$H47&lt;&gt;"",Proses!$I47&lt;&gt;"",Proses!$J47&lt;&gt;""),Proses!I47,"")</f>
        <v/>
      </c>
      <c r="J47" s="73" t="str">
        <f>IF(AND(Proses!$G47&lt;&gt;"",Proses!$H47&lt;&gt;"",Proses!$I47&lt;&gt;"",Proses!$J47&lt;&gt;""),Proses!J47,"")</f>
        <v/>
      </c>
    </row>
    <row r="48" spans="1:10" x14ac:dyDescent="0.25">
      <c r="A48" s="93">
        <v>6</v>
      </c>
      <c r="B48" s="94" t="s">
        <v>47</v>
      </c>
      <c r="C48" s="71" t="s">
        <v>69</v>
      </c>
      <c r="D48" s="94">
        <v>4</v>
      </c>
      <c r="E48" s="73" t="str">
        <f t="shared" si="6"/>
        <v/>
      </c>
      <c r="F48" s="95" t="str">
        <f t="shared" si="7"/>
        <v/>
      </c>
      <c r="G48" s="74" t="str">
        <f>IF(AND(Proses!$G48&lt;&gt;"",Proses!$H48&lt;&gt;"",Proses!$I48&lt;&gt;"",Proses!$J48&lt;&gt;""),Proses!G48,"")</f>
        <v/>
      </c>
      <c r="H48" s="77" t="str">
        <f>IF(AND(Proses!$G48&lt;&gt;"",Proses!$H48&lt;&gt;"",Proses!$I48&lt;&gt;"",Proses!$J48&lt;&gt;""),Proses!H48,"")</f>
        <v/>
      </c>
      <c r="I48" s="73" t="str">
        <f>IF(AND(Proses!$G48&lt;&gt;"",Proses!$H48&lt;&gt;"",Proses!$I48&lt;&gt;"",Proses!$J48&lt;&gt;""),Proses!I48,"")</f>
        <v/>
      </c>
      <c r="J48" s="73" t="str">
        <f>IF(AND(Proses!$G48&lt;&gt;"",Proses!$H48&lt;&gt;"",Proses!$I48&lt;&gt;"",Proses!$J48&lt;&gt;""),Proses!J48,"")</f>
        <v/>
      </c>
    </row>
    <row r="49" spans="1:10" x14ac:dyDescent="0.25">
      <c r="A49" s="93">
        <v>7</v>
      </c>
      <c r="B49" s="94" t="s">
        <v>63</v>
      </c>
      <c r="C49" s="75" t="s">
        <v>70</v>
      </c>
      <c r="D49" s="94">
        <v>4</v>
      </c>
      <c r="E49" s="73" t="str">
        <f t="shared" si="6"/>
        <v/>
      </c>
      <c r="F49" s="95" t="str">
        <f t="shared" si="7"/>
        <v/>
      </c>
      <c r="G49" s="74" t="str">
        <f>IF(AND(Proses!$G49&lt;&gt;"",Proses!$H49&lt;&gt;"",Proses!$I49&lt;&gt;"",Proses!$J49&lt;&gt;""),Proses!G49,"")</f>
        <v/>
      </c>
      <c r="H49" s="77" t="str">
        <f>IF(AND(Proses!$G49&lt;&gt;"",Proses!$H49&lt;&gt;"",Proses!$I49&lt;&gt;"",Proses!$J49&lt;&gt;""),Proses!H49,"")</f>
        <v/>
      </c>
      <c r="I49" s="73" t="str">
        <f>IF(AND(Proses!$G49&lt;&gt;"",Proses!$H49&lt;&gt;"",Proses!$I49&lt;&gt;"",Proses!$J49&lt;&gt;""),Proses!I49,"")</f>
        <v/>
      </c>
      <c r="J49" s="73" t="str">
        <f>IF(AND(Proses!$G49&lt;&gt;"",Proses!$H49&lt;&gt;"",Proses!$I49&lt;&gt;"",Proses!$J49&lt;&gt;""),Proses!J49,"")</f>
        <v/>
      </c>
    </row>
    <row r="50" spans="1:10" x14ac:dyDescent="0.25">
      <c r="A50" s="114" t="s">
        <v>27</v>
      </c>
      <c r="B50" s="115"/>
      <c r="C50" s="116"/>
      <c r="D50" s="34">
        <f>SUM(D43:D49)</f>
        <v>20</v>
      </c>
      <c r="E50" s="43">
        <f>IF(Proses!E50 &lt;&gt;"",Proses!E50,"")</f>
        <v>0</v>
      </c>
      <c r="F50" s="101" t="str">
        <f>IF(Proses!F50 &lt;&gt;"",Proses!F50,"")</f>
        <v/>
      </c>
      <c r="G50" s="100" t="str">
        <f>IF(Proses!G50 &lt;&gt;"",Proses!G50,"")</f>
        <v/>
      </c>
      <c r="H50" s="44" t="str">
        <f>IF(Proses!H50 &lt;&gt;"",Proses!H50,"")</f>
        <v/>
      </c>
      <c r="I50" s="43" t="str">
        <f>IF(Proses!I50 &lt;&gt;"",Proses!I50,"")</f>
        <v/>
      </c>
      <c r="J50" s="43" t="str">
        <f>IF(Proses!J50 &lt;&gt;"",Proses!J50,"")</f>
        <v/>
      </c>
    </row>
    <row r="51" spans="1:10" x14ac:dyDescent="0.25">
      <c r="A51" s="6" t="s">
        <v>81</v>
      </c>
      <c r="B51" s="6"/>
      <c r="C51" s="6"/>
      <c r="D51" s="17"/>
      <c r="E51" s="18"/>
      <c r="F51" s="69"/>
      <c r="G51" s="61"/>
      <c r="H51" s="45"/>
      <c r="I51" s="20"/>
      <c r="J51" s="20"/>
    </row>
    <row r="52" spans="1:10" x14ac:dyDescent="0.25">
      <c r="A52" s="93">
        <v>1</v>
      </c>
      <c r="B52" s="94" t="s">
        <v>150</v>
      </c>
      <c r="C52" s="75" t="s">
        <v>72</v>
      </c>
      <c r="D52" s="94">
        <v>2</v>
      </c>
      <c r="E52" s="73" t="str">
        <f t="shared" ref="E52:E58" si="8">IF(AND($G52&lt;&gt;"",$H52&lt;&gt;"",$I52&lt;&gt;"",$J52&lt;&gt;""),$D52,"")</f>
        <v/>
      </c>
      <c r="F52" s="95" t="str">
        <f t="shared" ref="F52:F58" si="9">IF(AND($G52&lt;&gt;"",$H52&lt;&gt;"",$I52&lt;&gt;"",$J52&lt;&gt;""),$J52,"")</f>
        <v/>
      </c>
      <c r="G52" s="74" t="str">
        <f>IF(AND(Proses!$G61&lt;&gt;"",Proses!$H61&lt;&gt;"",Proses!$I61&lt;&gt;"",Proses!$J61&lt;&gt;""),Proses!G61,"")</f>
        <v/>
      </c>
      <c r="H52" s="102" t="str">
        <f>IF(AND(Proses!$G61&lt;&gt;"",Proses!$H61&lt;&gt;"",Proses!$I61&lt;&gt;"",Proses!$J61&lt;&gt;""),Proses!H61,"")</f>
        <v/>
      </c>
      <c r="I52" s="74" t="str">
        <f>IF(AND(Proses!$G61&lt;&gt;"",Proses!$H61&lt;&gt;"",Proses!$I61&lt;&gt;"",Proses!$J61&lt;&gt;""),Proses!I61,"")</f>
        <v/>
      </c>
      <c r="J52" s="74" t="str">
        <f>IF(AND(Proses!$G61&lt;&gt;"",Proses!$H61&lt;&gt;"",Proses!$I61&lt;&gt;"",Proses!$J61&lt;&gt;""),Proses!J61,"")</f>
        <v/>
      </c>
    </row>
    <row r="53" spans="1:10" x14ac:dyDescent="0.25">
      <c r="A53" s="93">
        <v>2</v>
      </c>
      <c r="B53" s="94" t="s">
        <v>155</v>
      </c>
      <c r="C53" s="98" t="s">
        <v>83</v>
      </c>
      <c r="D53" s="94">
        <v>4</v>
      </c>
      <c r="E53" s="73" t="str">
        <f t="shared" si="8"/>
        <v/>
      </c>
      <c r="F53" s="95" t="str">
        <f t="shared" si="9"/>
        <v/>
      </c>
      <c r="G53" s="74" t="str">
        <f>IF(AND(Proses!$G62&lt;&gt;"",Proses!$H62&lt;&gt;"",Proses!$I62&lt;&gt;"",Proses!$J62&lt;&gt;""),Proses!G62,"")</f>
        <v/>
      </c>
      <c r="H53" s="102" t="str">
        <f>IF(AND(Proses!$G62&lt;&gt;"",Proses!$H62&lt;&gt;"",Proses!$I62&lt;&gt;"",Proses!$J62&lt;&gt;""),Proses!H62,"")</f>
        <v/>
      </c>
      <c r="I53" s="74" t="str">
        <f>IF(AND(Proses!$G62&lt;&gt;"",Proses!$H62&lt;&gt;"",Proses!$I62&lt;&gt;"",Proses!$J62&lt;&gt;""),Proses!I62,"")</f>
        <v/>
      </c>
      <c r="J53" s="74" t="str">
        <f>IF(AND(Proses!$G62&lt;&gt;"",Proses!$H62&lt;&gt;"",Proses!$I62&lt;&gt;"",Proses!$J62&lt;&gt;""),Proses!J62,"")</f>
        <v/>
      </c>
    </row>
    <row r="54" spans="1:10" x14ac:dyDescent="0.25">
      <c r="A54" s="93">
        <v>3</v>
      </c>
      <c r="B54" s="94" t="s">
        <v>151</v>
      </c>
      <c r="C54" s="71" t="s">
        <v>76</v>
      </c>
      <c r="D54" s="94">
        <v>4</v>
      </c>
      <c r="E54" s="73" t="str">
        <f t="shared" si="8"/>
        <v/>
      </c>
      <c r="F54" s="95" t="str">
        <f t="shared" si="9"/>
        <v/>
      </c>
      <c r="G54" s="74" t="str">
        <f>IF(AND(Proses!$G63&lt;&gt;"",Proses!$H63&lt;&gt;"",Proses!$I63&lt;&gt;"",Proses!$J63&lt;&gt;""),Proses!G63,"")</f>
        <v/>
      </c>
      <c r="H54" s="102" t="str">
        <f>IF(AND(Proses!$G63&lt;&gt;"",Proses!$H63&lt;&gt;"",Proses!$I63&lt;&gt;"",Proses!$J63&lt;&gt;""),Proses!H63,"")</f>
        <v/>
      </c>
      <c r="I54" s="74" t="str">
        <f>IF(AND(Proses!$G63&lt;&gt;"",Proses!$H63&lt;&gt;"",Proses!$I63&lt;&gt;"",Proses!$J63&lt;&gt;""),Proses!I63,"")</f>
        <v/>
      </c>
      <c r="J54" s="74" t="str">
        <f>IF(AND(Proses!$G63&lt;&gt;"",Proses!$H63&lt;&gt;"",Proses!$I63&lt;&gt;"",Proses!$J63&lt;&gt;""),Proses!J63,"")</f>
        <v/>
      </c>
    </row>
    <row r="55" spans="1:10" x14ac:dyDescent="0.25">
      <c r="A55" s="93">
        <v>4</v>
      </c>
      <c r="B55" s="94" t="s">
        <v>107</v>
      </c>
      <c r="C55" s="98" t="s">
        <v>85</v>
      </c>
      <c r="D55" s="94">
        <v>2</v>
      </c>
      <c r="E55" s="73">
        <f t="shared" si="8"/>
        <v>2</v>
      </c>
      <c r="F55" s="95" t="str">
        <f t="shared" si="9"/>
        <v>AB</v>
      </c>
      <c r="G55" s="74" t="str">
        <f>IF(AND(Proses!$G64&lt;&gt;"",Proses!$H64&lt;&gt;"",Proses!$I64&lt;&gt;"",Proses!$J64&lt;&gt;""),Proses!G64,"")</f>
        <v>SI9262</v>
      </c>
      <c r="H55" s="102" t="str">
        <f>IF(AND(Proses!$G64&lt;&gt;"",Proses!$H64&lt;&gt;"",Proses!$I64&lt;&gt;"",Proses!$J64&lt;&gt;""),Proses!H64,"")</f>
        <v>Audio Video Editing</v>
      </c>
      <c r="I55" s="74">
        <f>IF(AND(Proses!$G64&lt;&gt;"",Proses!$H64&lt;&gt;"",Proses!$I64&lt;&gt;"",Proses!$J64&lt;&gt;""),Proses!I64,"")</f>
        <v>2</v>
      </c>
      <c r="J55" s="74" t="str">
        <f>IF(AND(Proses!$G64&lt;&gt;"",Proses!$H64&lt;&gt;"",Proses!$I64&lt;&gt;"",Proses!$J64&lt;&gt;""),Proses!J64,"")</f>
        <v>AB</v>
      </c>
    </row>
    <row r="56" spans="1:10" x14ac:dyDescent="0.25">
      <c r="A56" s="93">
        <v>5</v>
      </c>
      <c r="B56" s="94" t="s">
        <v>126</v>
      </c>
      <c r="C56" s="98" t="s">
        <v>87</v>
      </c>
      <c r="D56" s="94">
        <v>4</v>
      </c>
      <c r="E56" s="73" t="str">
        <f t="shared" si="8"/>
        <v/>
      </c>
      <c r="F56" s="95" t="str">
        <f t="shared" si="9"/>
        <v/>
      </c>
      <c r="G56" s="74" t="str">
        <f>IF(AND(Proses!$G65&lt;&gt;"",Proses!$H65&lt;&gt;"",Proses!$I65&lt;&gt;"",Proses!$J65&lt;&gt;""),Proses!G65,"")</f>
        <v/>
      </c>
      <c r="H56" s="102" t="str">
        <f>IF(AND(Proses!$G65&lt;&gt;"",Proses!$H65&lt;&gt;"",Proses!$I65&lt;&gt;"",Proses!$J65&lt;&gt;""),Proses!H65,"")</f>
        <v/>
      </c>
      <c r="I56" s="74" t="str">
        <f>IF(AND(Proses!$G65&lt;&gt;"",Proses!$H65&lt;&gt;"",Proses!$I65&lt;&gt;"",Proses!$J65&lt;&gt;""),Proses!I65,"")</f>
        <v/>
      </c>
      <c r="J56" s="74" t="str">
        <f>IF(AND(Proses!$G65&lt;&gt;"",Proses!$H65&lt;&gt;"",Proses!$I65&lt;&gt;"",Proses!$J65&lt;&gt;""),Proses!J65,"")</f>
        <v/>
      </c>
    </row>
    <row r="57" spans="1:10" x14ac:dyDescent="0.25">
      <c r="A57" s="93">
        <v>6</v>
      </c>
      <c r="B57" s="94" t="s">
        <v>59</v>
      </c>
      <c r="C57" s="75" t="s">
        <v>78</v>
      </c>
      <c r="D57" s="94">
        <v>2</v>
      </c>
      <c r="E57" s="73" t="str">
        <f t="shared" si="8"/>
        <v/>
      </c>
      <c r="F57" s="95" t="str">
        <f t="shared" si="9"/>
        <v/>
      </c>
      <c r="G57" s="74" t="str">
        <f>IF(AND(Proses!$G66&lt;&gt;"",Proses!$H66&lt;&gt;"",Proses!$I66&lt;&gt;"",Proses!$J66&lt;&gt;""),Proses!G66,"")</f>
        <v/>
      </c>
      <c r="H57" s="102" t="str">
        <f>IF(AND(Proses!$G66&lt;&gt;"",Proses!$H66&lt;&gt;"",Proses!$I66&lt;&gt;"",Proses!$J66&lt;&gt;""),Proses!H66,"")</f>
        <v/>
      </c>
      <c r="I57" s="74" t="str">
        <f>IF(AND(Proses!$G66&lt;&gt;"",Proses!$H66&lt;&gt;"",Proses!$I66&lt;&gt;"",Proses!$J66&lt;&gt;""),Proses!I66,"")</f>
        <v/>
      </c>
      <c r="J57" s="74" t="str">
        <f>IF(AND(Proses!$G66&lt;&gt;"",Proses!$H66&lt;&gt;"",Proses!$I66&lt;&gt;"",Proses!$J66&lt;&gt;""),Proses!J66,"")</f>
        <v/>
      </c>
    </row>
    <row r="58" spans="1:10" x14ac:dyDescent="0.25">
      <c r="A58" s="93">
        <v>7</v>
      </c>
      <c r="B58" s="94" t="s">
        <v>154</v>
      </c>
      <c r="C58" s="75" t="s">
        <v>80</v>
      </c>
      <c r="D58" s="94">
        <v>2</v>
      </c>
      <c r="E58" s="73" t="str">
        <f t="shared" si="8"/>
        <v/>
      </c>
      <c r="F58" s="95" t="str">
        <f t="shared" si="9"/>
        <v/>
      </c>
      <c r="G58" s="74" t="str">
        <f>IF(AND(Proses!$G67&lt;&gt;"",Proses!$H67&lt;&gt;"",Proses!$I67&lt;&gt;"",Proses!$J67&lt;&gt;""),Proses!G67,"")</f>
        <v/>
      </c>
      <c r="H58" s="102" t="str">
        <f>IF(AND(Proses!$G67&lt;&gt;"",Proses!$H67&lt;&gt;"",Proses!$I67&lt;&gt;"",Proses!$J67&lt;&gt;""),Proses!H67,"")</f>
        <v/>
      </c>
      <c r="I58" s="74" t="str">
        <f>IF(AND(Proses!$G67&lt;&gt;"",Proses!$H67&lt;&gt;"",Proses!$I67&lt;&gt;"",Proses!$J67&lt;&gt;""),Proses!I67,"")</f>
        <v/>
      </c>
      <c r="J58" s="74" t="str">
        <f>IF(AND(Proses!$G67&lt;&gt;"",Proses!$H67&lt;&gt;"",Proses!$I67&lt;&gt;"",Proses!$J67&lt;&gt;""),Proses!J67,"")</f>
        <v/>
      </c>
    </row>
    <row r="59" spans="1:10" x14ac:dyDescent="0.25">
      <c r="A59" s="114" t="s">
        <v>27</v>
      </c>
      <c r="B59" s="115"/>
      <c r="C59" s="116"/>
      <c r="D59" s="23">
        <f>SUM(D52:D58)</f>
        <v>20</v>
      </c>
      <c r="E59" s="23">
        <f>SUM(E52:E58)</f>
        <v>2</v>
      </c>
      <c r="F59" s="67"/>
      <c r="G59" s="60"/>
      <c r="H59" s="46"/>
      <c r="I59" s="25"/>
      <c r="J59" s="25"/>
    </row>
    <row r="60" spans="1:10" x14ac:dyDescent="0.25">
      <c r="A60" s="6" t="s">
        <v>101</v>
      </c>
      <c r="B60" s="6"/>
      <c r="C60" s="6"/>
      <c r="D60" s="17"/>
      <c r="E60" s="18"/>
      <c r="F60" s="69"/>
      <c r="G60" s="61"/>
      <c r="H60" s="45"/>
      <c r="I60" s="20"/>
      <c r="J60" s="20"/>
    </row>
    <row r="61" spans="1:10" x14ac:dyDescent="0.25">
      <c r="A61" s="93">
        <v>1</v>
      </c>
      <c r="B61" s="94" t="s">
        <v>162</v>
      </c>
      <c r="C61" s="98" t="s">
        <v>102</v>
      </c>
      <c r="D61" s="94">
        <v>4</v>
      </c>
      <c r="E61" s="73" t="str">
        <f t="shared" ref="E61:E66" si="10">IF(AND($G61&lt;&gt;"",$H61&lt;&gt;"",$I61&lt;&gt;"",$J61&lt;&gt;""),$D61,"")</f>
        <v/>
      </c>
      <c r="F61" s="95" t="str">
        <f t="shared" ref="F61:F66" si="11">IF(AND($G61&lt;&gt;"",$H61&lt;&gt;"",$I61&lt;&gt;"",$J61&lt;&gt;""),$J61,"")</f>
        <v/>
      </c>
      <c r="G61" s="74" t="str">
        <f>IF(AND(Proses!$G87&lt;&gt;"",Proses!$H87&lt;&gt;"",Proses!$I87&lt;&gt;"",Proses!$J87&lt;&gt;""),Proses!G87,"")</f>
        <v/>
      </c>
      <c r="H61" s="102" t="str">
        <f>IF(AND(Proses!$G87&lt;&gt;"",Proses!$H87&lt;&gt;"",Proses!$I87&lt;&gt;"",Proses!$J87&lt;&gt;""),Proses!H87,"")</f>
        <v/>
      </c>
      <c r="I61" s="74" t="str">
        <f>IF(AND(Proses!$G87&lt;&gt;"",Proses!$H87&lt;&gt;"",Proses!$I87&lt;&gt;"",Proses!$J87&lt;&gt;""),Proses!I87,"")</f>
        <v/>
      </c>
      <c r="J61" s="74" t="str">
        <f>IF(AND(Proses!$G87&lt;&gt;"",Proses!$H87&lt;&gt;"",Proses!$I87&lt;&gt;"",Proses!$J87&lt;&gt;""),Proses!J87,"")</f>
        <v/>
      </c>
    </row>
    <row r="62" spans="1:10" x14ac:dyDescent="0.25">
      <c r="A62" s="93">
        <v>2</v>
      </c>
      <c r="B62" s="94" t="s">
        <v>73</v>
      </c>
      <c r="C62" s="75" t="s">
        <v>96</v>
      </c>
      <c r="D62" s="94">
        <v>2</v>
      </c>
      <c r="E62" s="73" t="str">
        <f t="shared" si="10"/>
        <v/>
      </c>
      <c r="F62" s="95" t="str">
        <f t="shared" si="11"/>
        <v/>
      </c>
      <c r="G62" s="74" t="str">
        <f>IF(AND(Proses!$G88&lt;&gt;"",Proses!$H88&lt;&gt;"",Proses!$I88&lt;&gt;"",Proses!$J88&lt;&gt;""),Proses!G88,"")</f>
        <v/>
      </c>
      <c r="H62" s="102" t="str">
        <f>IF(AND(Proses!$G88&lt;&gt;"",Proses!$H88&lt;&gt;"",Proses!$I88&lt;&gt;"",Proses!$J88&lt;&gt;""),Proses!H88,"")</f>
        <v/>
      </c>
      <c r="I62" s="74" t="str">
        <f>IF(AND(Proses!$G88&lt;&gt;"",Proses!$H88&lt;&gt;"",Proses!$I88&lt;&gt;"",Proses!$J88&lt;&gt;""),Proses!I88,"")</f>
        <v/>
      </c>
      <c r="J62" s="74" t="str">
        <f>IF(AND(Proses!$G88&lt;&gt;"",Proses!$H88&lt;&gt;"",Proses!$I88&lt;&gt;"",Proses!$J88&lt;&gt;""),Proses!J88,"")</f>
        <v/>
      </c>
    </row>
    <row r="63" spans="1:10" x14ac:dyDescent="0.25">
      <c r="A63" s="93">
        <v>3</v>
      </c>
      <c r="B63" s="94" t="s">
        <v>163</v>
      </c>
      <c r="C63" s="98" t="s">
        <v>103</v>
      </c>
      <c r="D63" s="94">
        <v>4</v>
      </c>
      <c r="E63" s="73" t="str">
        <f t="shared" si="10"/>
        <v/>
      </c>
      <c r="F63" s="95" t="str">
        <f t="shared" si="11"/>
        <v/>
      </c>
      <c r="G63" s="74" t="str">
        <f>IF(AND(Proses!$G89&lt;&gt;"",Proses!$H89&lt;&gt;"",Proses!$I89&lt;&gt;"",Proses!$J89&lt;&gt;""),Proses!G89,"")</f>
        <v/>
      </c>
      <c r="H63" s="102" t="str">
        <f>IF(AND(Proses!$G89&lt;&gt;"",Proses!$H89&lt;&gt;"",Proses!$I89&lt;&gt;"",Proses!$J89&lt;&gt;""),Proses!H89,"")</f>
        <v/>
      </c>
      <c r="I63" s="74" t="str">
        <f>IF(AND(Proses!$G89&lt;&gt;"",Proses!$H89&lt;&gt;"",Proses!$I89&lt;&gt;"",Proses!$J89&lt;&gt;""),Proses!I89,"")</f>
        <v/>
      </c>
      <c r="J63" s="74" t="str">
        <f>IF(AND(Proses!$G89&lt;&gt;"",Proses!$H89&lt;&gt;"",Proses!$I89&lt;&gt;"",Proses!$J89&lt;&gt;""),Proses!J89,"")</f>
        <v/>
      </c>
    </row>
    <row r="64" spans="1:10" x14ac:dyDescent="0.25">
      <c r="A64" s="93">
        <v>4</v>
      </c>
      <c r="B64" s="94" t="s">
        <v>159</v>
      </c>
      <c r="C64" s="71" t="s">
        <v>97</v>
      </c>
      <c r="D64" s="94">
        <v>2</v>
      </c>
      <c r="E64" s="73" t="str">
        <f t="shared" si="10"/>
        <v/>
      </c>
      <c r="F64" s="95" t="str">
        <f t="shared" si="11"/>
        <v/>
      </c>
      <c r="G64" s="74" t="str">
        <f>IF(AND(Proses!$G90&lt;&gt;"",Proses!$H90&lt;&gt;"",Proses!$I90&lt;&gt;"",Proses!$J90&lt;&gt;""),Proses!G90,"")</f>
        <v/>
      </c>
      <c r="H64" s="102" t="str">
        <f>IF(AND(Proses!$G90&lt;&gt;"",Proses!$H90&lt;&gt;"",Proses!$I90&lt;&gt;"",Proses!$J90&lt;&gt;""),Proses!H90,"")</f>
        <v/>
      </c>
      <c r="I64" s="74" t="str">
        <f>IF(AND(Proses!$G90&lt;&gt;"",Proses!$H90&lt;&gt;"",Proses!$I90&lt;&gt;"",Proses!$J90&lt;&gt;""),Proses!I90,"")</f>
        <v/>
      </c>
      <c r="J64" s="74" t="str">
        <f>IF(AND(Proses!$G90&lt;&gt;"",Proses!$H90&lt;&gt;"",Proses!$I90&lt;&gt;"",Proses!$J90&lt;&gt;""),Proses!J90,"")</f>
        <v/>
      </c>
    </row>
    <row r="65" spans="1:10" x14ac:dyDescent="0.25">
      <c r="A65" s="93">
        <v>5</v>
      </c>
      <c r="B65" s="94" t="s">
        <v>90</v>
      </c>
      <c r="C65" s="98" t="s">
        <v>104</v>
      </c>
      <c r="D65" s="94">
        <v>4</v>
      </c>
      <c r="E65" s="73" t="str">
        <f t="shared" si="10"/>
        <v/>
      </c>
      <c r="F65" s="95" t="str">
        <f t="shared" si="11"/>
        <v/>
      </c>
      <c r="G65" s="74" t="str">
        <f>IF(AND(Proses!$G91&lt;&gt;"",Proses!$H91&lt;&gt;"",Proses!$I91&lt;&gt;"",Proses!$J91&lt;&gt;""),Proses!G91,"")</f>
        <v/>
      </c>
      <c r="H65" s="102" t="str">
        <f>IF(AND(Proses!$G91&lt;&gt;"",Proses!$H91&lt;&gt;"",Proses!$I91&lt;&gt;"",Proses!$J91&lt;&gt;""),Proses!H91,"")</f>
        <v/>
      </c>
      <c r="I65" s="74" t="str">
        <f>IF(AND(Proses!$G91&lt;&gt;"",Proses!$H91&lt;&gt;"",Proses!$I91&lt;&gt;"",Proses!$J91&lt;&gt;""),Proses!I91,"")</f>
        <v/>
      </c>
      <c r="J65" s="74" t="str">
        <f>IF(AND(Proses!$G91&lt;&gt;"",Proses!$H91&lt;&gt;"",Proses!$I91&lt;&gt;"",Proses!$J91&lt;&gt;""),Proses!J91,"")</f>
        <v/>
      </c>
    </row>
    <row r="66" spans="1:10" x14ac:dyDescent="0.25">
      <c r="A66" s="93">
        <v>6</v>
      </c>
      <c r="B66" s="94" t="s">
        <v>161</v>
      </c>
      <c r="C66" s="71" t="s">
        <v>100</v>
      </c>
      <c r="D66" s="94">
        <v>4</v>
      </c>
      <c r="E66" s="73" t="str">
        <f t="shared" si="10"/>
        <v/>
      </c>
      <c r="F66" s="95" t="str">
        <f t="shared" si="11"/>
        <v/>
      </c>
      <c r="G66" s="74" t="str">
        <f>IF(AND(Proses!$G92&lt;&gt;"",Proses!$H92&lt;&gt;"",Proses!$I92&lt;&gt;"",Proses!$J92&lt;&gt;""),Proses!G92,"")</f>
        <v/>
      </c>
      <c r="H66" s="102" t="str">
        <f>IF(AND(Proses!$G92&lt;&gt;"",Proses!$H92&lt;&gt;"",Proses!$I92&lt;&gt;"",Proses!$J92&lt;&gt;""),Proses!H92,"")</f>
        <v/>
      </c>
      <c r="I66" s="74" t="str">
        <f>IF(AND(Proses!$G92&lt;&gt;"",Proses!$H92&lt;&gt;"",Proses!$I92&lt;&gt;"",Proses!$J92&lt;&gt;""),Proses!I92,"")</f>
        <v/>
      </c>
      <c r="J66" s="74" t="str">
        <f>IF(AND(Proses!$G92&lt;&gt;"",Proses!$H92&lt;&gt;"",Proses!$I92&lt;&gt;"",Proses!$J92&lt;&gt;""),Proses!J92,"")</f>
        <v/>
      </c>
    </row>
    <row r="67" spans="1:10" x14ac:dyDescent="0.25">
      <c r="A67" s="114" t="s">
        <v>27</v>
      </c>
      <c r="B67" s="115"/>
      <c r="C67" s="116"/>
      <c r="D67" s="23">
        <f>SUM(D61:D66)</f>
        <v>20</v>
      </c>
      <c r="E67" s="23">
        <f>SUM(E61:E66)</f>
        <v>0</v>
      </c>
      <c r="F67" s="67"/>
      <c r="G67" s="60"/>
      <c r="H67" s="27"/>
      <c r="I67" s="26"/>
      <c r="J67" s="26"/>
    </row>
    <row r="68" spans="1:10" x14ac:dyDescent="0.25">
      <c r="A68" s="6" t="s">
        <v>118</v>
      </c>
      <c r="B68" s="6"/>
      <c r="C68" s="6"/>
      <c r="D68" s="17"/>
      <c r="E68" s="19"/>
      <c r="F68" s="70"/>
      <c r="G68" s="63"/>
      <c r="H68" s="45"/>
      <c r="I68" s="20"/>
      <c r="J68" s="22"/>
    </row>
    <row r="69" spans="1:10" x14ac:dyDescent="0.25">
      <c r="A69" s="93">
        <v>1</v>
      </c>
      <c r="B69" s="73" t="s">
        <v>111</v>
      </c>
      <c r="C69" s="71" t="s">
        <v>112</v>
      </c>
      <c r="D69" s="73">
        <v>2</v>
      </c>
      <c r="E69" s="73" t="str">
        <f t="shared" ref="E69:E73" si="12">IF(AND($G69&lt;&gt;"",$H69&lt;&gt;"",$I69&lt;&gt;"",$J69&lt;&gt;""),$D69,"")</f>
        <v/>
      </c>
      <c r="F69" s="95" t="str">
        <f t="shared" ref="F69:F73" si="13">IF(AND($G69&lt;&gt;"",$H69&lt;&gt;"",$I69&lt;&gt;"",$J69&lt;&gt;""),$J69,"")</f>
        <v/>
      </c>
      <c r="G69" s="74" t="str">
        <f>IF(AND(Proses!$G110&lt;&gt;"",Proses!$H110&lt;&gt;"",Proses!$I110&lt;&gt;"",Proses!$J110&lt;&gt;""),Proses!G110,"")</f>
        <v/>
      </c>
      <c r="H69" s="102" t="str">
        <f>IF(AND(Proses!$G110&lt;&gt;"",Proses!$H110&lt;&gt;"",Proses!$I110&lt;&gt;"",Proses!$J110&lt;&gt;""),Proses!H110,"")</f>
        <v/>
      </c>
      <c r="I69" s="74" t="str">
        <f>IF(AND(Proses!$G110&lt;&gt;"",Proses!$H110&lt;&gt;"",Proses!$I110&lt;&gt;"",Proses!$J110&lt;&gt;""),Proses!I110,"")</f>
        <v/>
      </c>
      <c r="J69" s="74" t="str">
        <f>IF(AND(Proses!$G110&lt;&gt;"",Proses!$H110&lt;&gt;"",Proses!$I110&lt;&gt;"",Proses!$J110&lt;&gt;""),Proses!J110,"")</f>
        <v/>
      </c>
    </row>
    <row r="70" spans="1:10" x14ac:dyDescent="0.25">
      <c r="A70" s="93">
        <v>2</v>
      </c>
      <c r="B70" s="73" t="s">
        <v>113</v>
      </c>
      <c r="C70" s="71" t="s">
        <v>114</v>
      </c>
      <c r="D70" s="73">
        <v>2</v>
      </c>
      <c r="E70" s="73" t="str">
        <f t="shared" si="12"/>
        <v/>
      </c>
      <c r="F70" s="95" t="str">
        <f t="shared" si="13"/>
        <v/>
      </c>
      <c r="G70" s="74" t="str">
        <f>IF(AND(Proses!$G111&lt;&gt;"",Proses!$H111&lt;&gt;"",Proses!$I111&lt;&gt;"",Proses!$J111&lt;&gt;""),Proses!G111,"")</f>
        <v/>
      </c>
      <c r="H70" s="102" t="str">
        <f>IF(AND(Proses!$G111&lt;&gt;"",Proses!$H111&lt;&gt;"",Proses!$I111&lt;&gt;"",Proses!$J111&lt;&gt;""),Proses!H111,"")</f>
        <v/>
      </c>
      <c r="I70" s="74" t="str">
        <f>IF(AND(Proses!$G111&lt;&gt;"",Proses!$H111&lt;&gt;"",Proses!$I111&lt;&gt;"",Proses!$J111&lt;&gt;""),Proses!I111,"")</f>
        <v/>
      </c>
      <c r="J70" s="74" t="str">
        <f>IF(AND(Proses!$G111&lt;&gt;"",Proses!$H111&lt;&gt;"",Proses!$I111&lt;&gt;"",Proses!$J111&lt;&gt;""),Proses!J111,"")</f>
        <v/>
      </c>
    </row>
    <row r="71" spans="1:10" x14ac:dyDescent="0.25">
      <c r="A71" s="93">
        <v>3</v>
      </c>
      <c r="B71" s="73" t="s">
        <v>170</v>
      </c>
      <c r="C71" s="98" t="s">
        <v>119</v>
      </c>
      <c r="D71" s="73">
        <v>4</v>
      </c>
      <c r="E71" s="73" t="str">
        <f t="shared" si="12"/>
        <v/>
      </c>
      <c r="F71" s="95" t="str">
        <f t="shared" si="13"/>
        <v/>
      </c>
      <c r="G71" s="74" t="str">
        <f>IF(AND(Proses!$G112&lt;&gt;"",Proses!$H112&lt;&gt;"",Proses!$I112&lt;&gt;"",Proses!$J112&lt;&gt;""),Proses!G112,"")</f>
        <v/>
      </c>
      <c r="H71" s="102" t="str">
        <f>IF(AND(Proses!$G112&lt;&gt;"",Proses!$H112&lt;&gt;"",Proses!$I112&lt;&gt;"",Proses!$J112&lt;&gt;""),Proses!H112,"")</f>
        <v/>
      </c>
      <c r="I71" s="74" t="str">
        <f>IF(AND(Proses!$G112&lt;&gt;"",Proses!$H112&lt;&gt;"",Proses!$I112&lt;&gt;"",Proses!$J112&lt;&gt;""),Proses!I112,"")</f>
        <v/>
      </c>
      <c r="J71" s="74" t="str">
        <f>IF(AND(Proses!$G112&lt;&gt;"",Proses!$H112&lt;&gt;"",Proses!$I112&lt;&gt;"",Proses!$J112&lt;&gt;""),Proses!J112,"")</f>
        <v/>
      </c>
    </row>
    <row r="72" spans="1:10" x14ac:dyDescent="0.25">
      <c r="A72" s="93">
        <v>4</v>
      </c>
      <c r="B72" s="73" t="s">
        <v>168</v>
      </c>
      <c r="C72" s="71" t="s">
        <v>116</v>
      </c>
      <c r="D72" s="73">
        <v>2</v>
      </c>
      <c r="E72" s="73" t="str">
        <f t="shared" si="12"/>
        <v/>
      </c>
      <c r="F72" s="95" t="str">
        <f t="shared" si="13"/>
        <v/>
      </c>
      <c r="G72" s="74" t="str">
        <f>IF(AND(Proses!$G113&lt;&gt;"",Proses!$H113&lt;&gt;"",Proses!$I113&lt;&gt;"",Proses!$J113&lt;&gt;""),Proses!G113,"")</f>
        <v/>
      </c>
      <c r="H72" s="102" t="str">
        <f>IF(AND(Proses!$G113&lt;&gt;"",Proses!$H113&lt;&gt;"",Proses!$I113&lt;&gt;"",Proses!$J113&lt;&gt;""),Proses!H113,"")</f>
        <v/>
      </c>
      <c r="I72" s="74" t="str">
        <f>IF(AND(Proses!$G113&lt;&gt;"",Proses!$H113&lt;&gt;"",Proses!$I113&lt;&gt;"",Proses!$J113&lt;&gt;""),Proses!I113,"")</f>
        <v/>
      </c>
      <c r="J72" s="74" t="str">
        <f>IF(AND(Proses!$G113&lt;&gt;"",Proses!$H113&lt;&gt;"",Proses!$I113&lt;&gt;"",Proses!$J113&lt;&gt;""),Proses!J113,"")</f>
        <v/>
      </c>
    </row>
    <row r="73" spans="1:10" x14ac:dyDescent="0.25">
      <c r="A73" s="93">
        <v>5</v>
      </c>
      <c r="B73" s="73" t="s">
        <v>167</v>
      </c>
      <c r="C73" s="71" t="s">
        <v>115</v>
      </c>
      <c r="D73" s="73">
        <v>4</v>
      </c>
      <c r="E73" s="73" t="str">
        <f t="shared" si="12"/>
        <v/>
      </c>
      <c r="F73" s="95" t="str">
        <f t="shared" si="13"/>
        <v/>
      </c>
      <c r="G73" s="74" t="str">
        <f>IF(AND(Proses!$G114&lt;&gt;"",Proses!$H114&lt;&gt;"",Proses!$I114&lt;&gt;"",Proses!$J114&lt;&gt;""),Proses!G114,"")</f>
        <v/>
      </c>
      <c r="H73" s="102" t="str">
        <f>IF(AND(Proses!$G114&lt;&gt;"",Proses!$H114&lt;&gt;"",Proses!$I114&lt;&gt;"",Proses!$J114&lt;&gt;""),Proses!H114,"")</f>
        <v/>
      </c>
      <c r="I73" s="74" t="str">
        <f>IF(AND(Proses!$G114&lt;&gt;"",Proses!$H114&lt;&gt;"",Proses!$I114&lt;&gt;"",Proses!$J114&lt;&gt;""),Proses!I114,"")</f>
        <v/>
      </c>
      <c r="J73" s="74" t="str">
        <f>IF(AND(Proses!$G114&lt;&gt;"",Proses!$H114&lt;&gt;"",Proses!$I114&lt;&gt;"",Proses!$J114&lt;&gt;""),Proses!J114,"")</f>
        <v/>
      </c>
    </row>
    <row r="74" spans="1:10" x14ac:dyDescent="0.25">
      <c r="A74" s="114" t="s">
        <v>27</v>
      </c>
      <c r="B74" s="115"/>
      <c r="C74" s="116"/>
      <c r="D74" s="23">
        <f>SUM(D69:D73)</f>
        <v>14</v>
      </c>
      <c r="E74" s="23">
        <f>SUM(E69:E73)</f>
        <v>0</v>
      </c>
      <c r="F74" s="67"/>
      <c r="G74" s="60"/>
      <c r="H74" s="48"/>
      <c r="I74" s="25"/>
      <c r="J74" s="25"/>
    </row>
    <row r="75" spans="1:10" x14ac:dyDescent="0.25">
      <c r="A75" s="6" t="s">
        <v>122</v>
      </c>
      <c r="B75" s="6"/>
      <c r="C75" s="6"/>
      <c r="D75" s="17"/>
      <c r="E75" s="19"/>
      <c r="F75" s="70"/>
      <c r="G75" s="63"/>
      <c r="H75" s="45"/>
      <c r="I75" s="20"/>
      <c r="J75" s="22"/>
    </row>
    <row r="76" spans="1:10" x14ac:dyDescent="0.25">
      <c r="A76" s="72">
        <v>1</v>
      </c>
      <c r="B76" s="73" t="s">
        <v>123</v>
      </c>
      <c r="C76" s="71" t="s">
        <v>124</v>
      </c>
      <c r="D76" s="73">
        <v>4</v>
      </c>
      <c r="E76" s="73" t="str">
        <f t="shared" ref="E76:E79" si="14">IF(AND($G76&lt;&gt;"",$H76&lt;&gt;"",$I76&lt;&gt;"",$J76&lt;&gt;""),$D76,"")</f>
        <v/>
      </c>
      <c r="F76" s="95" t="str">
        <f t="shared" ref="F76:F79" si="15">IF(AND($G76&lt;&gt;"",$H76&lt;&gt;"",$I76&lt;&gt;"",$J76&lt;&gt;""),$J76,"")</f>
        <v/>
      </c>
      <c r="G76" s="74" t="str">
        <f>IF(AND(Proses!$G124&lt;&gt;"",Proses!$H124&lt;&gt;"",Proses!$I124&lt;&gt;"",Proses!$J124&lt;&gt;""),Proses!G124,"")</f>
        <v/>
      </c>
      <c r="H76" s="77" t="str">
        <f>IF(AND(Proses!$G124&lt;&gt;"",Proses!$H124&lt;&gt;"",Proses!$I124&lt;&gt;"",Proses!$J124&lt;&gt;""),Proses!H124,"")</f>
        <v/>
      </c>
      <c r="I76" s="73" t="str">
        <f>IF(AND(Proses!$G124&lt;&gt;"",Proses!$H124&lt;&gt;"",Proses!$I124&lt;&gt;"",Proses!$J124&lt;&gt;""),Proses!I124,"")</f>
        <v/>
      </c>
      <c r="J76" s="73" t="str">
        <f>IF(AND(Proses!$G124&lt;&gt;"",Proses!$H124&lt;&gt;"",Proses!$I124&lt;&gt;"",Proses!$J124&lt;&gt;""),Proses!J124,"")</f>
        <v/>
      </c>
    </row>
    <row r="77" spans="1:10" x14ac:dyDescent="0.25">
      <c r="A77" s="72">
        <v>2</v>
      </c>
      <c r="B77" s="73" t="s">
        <v>172</v>
      </c>
      <c r="C77" s="75" t="s">
        <v>125</v>
      </c>
      <c r="D77" s="73">
        <v>4</v>
      </c>
      <c r="E77" s="73">
        <f t="shared" si="14"/>
        <v>4</v>
      </c>
      <c r="F77" s="95" t="str">
        <f t="shared" si="15"/>
        <v>B</v>
      </c>
      <c r="G77" s="74" t="str">
        <f>IF(AND(Proses!$G125&lt;&gt;"",Proses!$H125&lt;&gt;"",Proses!$I125&lt;&gt;"",Proses!$J125&lt;&gt;""),Proses!G125,"")</f>
        <v>SI0219</v>
      </c>
      <c r="H77" s="77" t="str">
        <f>IF(AND(Proses!$G125&lt;&gt;"",Proses!$H125&lt;&gt;"",Proses!$I125&lt;&gt;"",Proses!$J125&lt;&gt;""),Proses!H125,"")</f>
        <v>E-Commerce</v>
      </c>
      <c r="I77" s="73">
        <f>IF(AND(Proses!$G125&lt;&gt;"",Proses!$H125&lt;&gt;"",Proses!$I125&lt;&gt;"",Proses!$J125&lt;&gt;""),Proses!I125,"")</f>
        <v>4</v>
      </c>
      <c r="J77" s="73" t="str">
        <f>IF(AND(Proses!$G125&lt;&gt;"",Proses!$H125&lt;&gt;"",Proses!$I125&lt;&gt;"",Proses!$J125&lt;&gt;""),Proses!J125,"")</f>
        <v>B</v>
      </c>
    </row>
    <row r="78" spans="1:10" x14ac:dyDescent="0.25">
      <c r="A78" s="72">
        <v>3</v>
      </c>
      <c r="B78" s="73" t="s">
        <v>98</v>
      </c>
      <c r="C78" s="71" t="s">
        <v>127</v>
      </c>
      <c r="D78" s="73">
        <v>2</v>
      </c>
      <c r="E78" s="73" t="str">
        <f t="shared" si="14"/>
        <v/>
      </c>
      <c r="F78" s="95" t="str">
        <f t="shared" si="15"/>
        <v/>
      </c>
      <c r="G78" s="74" t="str">
        <f>IF(AND(Proses!$G126&lt;&gt;"",Proses!$H126&lt;&gt;"",Proses!$I126&lt;&gt;"",Proses!$J126&lt;&gt;""),Proses!G126,"")</f>
        <v/>
      </c>
      <c r="H78" s="77" t="str">
        <f>IF(AND(Proses!$G126&lt;&gt;"",Proses!$H126&lt;&gt;"",Proses!$I126&lt;&gt;"",Proses!$J126&lt;&gt;""),Proses!H126,"")</f>
        <v/>
      </c>
      <c r="I78" s="73" t="str">
        <f>IF(AND(Proses!$G126&lt;&gt;"",Proses!$H126&lt;&gt;"",Proses!$I126&lt;&gt;"",Proses!$J126&lt;&gt;""),Proses!I126,"")</f>
        <v/>
      </c>
      <c r="J78" s="73" t="str">
        <f>IF(AND(Proses!$G126&lt;&gt;"",Proses!$H126&lt;&gt;"",Proses!$I126&lt;&gt;"",Proses!$J126&lt;&gt;""),Proses!J126,"")</f>
        <v/>
      </c>
    </row>
    <row r="79" spans="1:10" x14ac:dyDescent="0.25">
      <c r="A79" s="72">
        <v>4</v>
      </c>
      <c r="B79" s="73" t="s">
        <v>128</v>
      </c>
      <c r="C79" s="71" t="s">
        <v>129</v>
      </c>
      <c r="D79" s="73">
        <v>2</v>
      </c>
      <c r="E79" s="73" t="str">
        <f t="shared" si="14"/>
        <v/>
      </c>
      <c r="F79" s="95" t="str">
        <f t="shared" si="15"/>
        <v/>
      </c>
      <c r="G79" s="74" t="str">
        <f>IF(AND(Proses!$G127&lt;&gt;"",Proses!$H127&lt;&gt;"",Proses!$I127&lt;&gt;"",Proses!$J127&lt;&gt;""),Proses!G127,"")</f>
        <v/>
      </c>
      <c r="H79" s="77" t="str">
        <f>IF(AND(Proses!$G127&lt;&gt;"",Proses!$H127&lt;&gt;"",Proses!$I127&lt;&gt;"",Proses!$J127&lt;&gt;""),Proses!H127,"")</f>
        <v/>
      </c>
      <c r="I79" s="73" t="str">
        <f>IF(AND(Proses!$G127&lt;&gt;"",Proses!$H127&lt;&gt;"",Proses!$I127&lt;&gt;"",Proses!$J127&lt;&gt;""),Proses!I127,"")</f>
        <v/>
      </c>
      <c r="J79" s="73" t="str">
        <f>IF(AND(Proses!$G127&lt;&gt;"",Proses!$H127&lt;&gt;"",Proses!$I127&lt;&gt;"",Proses!$J127&lt;&gt;""),Proses!J127,"")</f>
        <v/>
      </c>
    </row>
    <row r="80" spans="1:10" x14ac:dyDescent="0.25">
      <c r="A80" s="114" t="s">
        <v>27</v>
      </c>
      <c r="B80" s="115"/>
      <c r="C80" s="116"/>
      <c r="D80" s="23">
        <f>SUM(D76:D79)</f>
        <v>12</v>
      </c>
      <c r="E80" s="23">
        <f>SUM(E76:E79)</f>
        <v>4</v>
      </c>
      <c r="F80" s="67"/>
      <c r="G80" s="60"/>
      <c r="H80" s="48"/>
      <c r="I80" s="25"/>
      <c r="J80" s="25"/>
    </row>
    <row r="81" spans="1:10" x14ac:dyDescent="0.25">
      <c r="A81" s="103" t="s">
        <v>130</v>
      </c>
      <c r="B81" s="103"/>
      <c r="C81" s="103"/>
      <c r="D81" s="103">
        <f>SUM(E21,E32,E41,E50,E59,E67,E74,E80)</f>
        <v>40</v>
      </c>
      <c r="E81" s="103"/>
      <c r="F81" s="104"/>
      <c r="G81" s="105" t="s">
        <v>131</v>
      </c>
      <c r="H81" s="103"/>
      <c r="I81" s="103">
        <f>SUM(I12:I79)</f>
        <v>40</v>
      </c>
      <c r="J81" s="103"/>
    </row>
    <row r="83" spans="1:10" x14ac:dyDescent="0.25">
      <c r="C83" s="42" t="str">
        <f>IF(Proses!C132&lt;&gt;"",Proses!C132,"")</f>
        <v>GAME &amp; MULTIMEDIA (G&amp;M)</v>
      </c>
      <c r="D83" s="42">
        <f>IF(Proses!D132&lt;&gt;"",Proses!D132,"")</f>
        <v>40</v>
      </c>
    </row>
  </sheetData>
  <sheetProtection algorithmName="SHA-512" hashValue="dVryeUjyTrNiDiTEAz5Hvtp2FrxBDPx8zNoLGLwVUZUzrwL/7O5AGgGQWdj7YlV5S1JNo2FygJjKZJQmnz51Mg==" saltValue="xEJHgPeMo731bhkav81OLA==" spinCount="100000" sheet="1" objects="1" scenarios="1" selectLockedCells="1"/>
  <mergeCells count="17">
    <mergeCell ref="A1:J1"/>
    <mergeCell ref="A2:J2"/>
    <mergeCell ref="A7:C7"/>
    <mergeCell ref="A59:C59"/>
    <mergeCell ref="A67:C67"/>
    <mergeCell ref="A9:F9"/>
    <mergeCell ref="G9:J9"/>
    <mergeCell ref="A21:C21"/>
    <mergeCell ref="A32:C32"/>
    <mergeCell ref="A41:C41"/>
    <mergeCell ref="A50:C50"/>
    <mergeCell ref="G81:H81"/>
    <mergeCell ref="I81:J81"/>
    <mergeCell ref="A74:C74"/>
    <mergeCell ref="A80:C80"/>
    <mergeCell ref="A81:C81"/>
    <mergeCell ref="D81:F81"/>
  </mergeCells>
  <conditionalFormatting sqref="A76:J79 A69:J73 A61:J66 A52:J58 A43:J49 A34:J40 A23:J31 A12:J20">
    <cfRule type="expression" dxfId="3" priority="1">
      <formula>$F12=""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zoomScale="85" zoomScaleNormal="85" workbookViewId="0">
      <selection activeCell="H70" sqref="H70"/>
    </sheetView>
  </sheetViews>
  <sheetFormatPr defaultRowHeight="15" x14ac:dyDescent="0.25"/>
  <cols>
    <col min="2" max="2" width="9.85546875" customWidth="1"/>
    <col min="3" max="3" width="38.42578125" bestFit="1" customWidth="1"/>
    <col min="4" max="4" width="5.5703125" bestFit="1" customWidth="1"/>
    <col min="5" max="5" width="7.5703125" bestFit="1" customWidth="1"/>
    <col min="6" max="6" width="6.140625" bestFit="1" customWidth="1"/>
    <col min="8" max="8" width="48.5703125" customWidth="1"/>
    <col min="9" max="10" width="6.140625" bestFit="1" customWidth="1"/>
  </cols>
  <sheetData>
    <row r="1" spans="1:10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0" x14ac:dyDescent="0.25">
      <c r="A2" s="106" t="s">
        <v>138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x14ac:dyDescent="0.25">
      <c r="A3" s="1"/>
      <c r="B3" s="1"/>
      <c r="C3" s="1"/>
      <c r="D3" s="8"/>
      <c r="E3" s="8"/>
      <c r="F3" s="8"/>
      <c r="G3" s="2"/>
      <c r="H3" s="14"/>
      <c r="I3" s="11"/>
      <c r="J3" s="11"/>
    </row>
    <row r="4" spans="1:10" x14ac:dyDescent="0.25">
      <c r="A4" s="92" t="s">
        <v>1</v>
      </c>
      <c r="B4" s="92"/>
      <c r="C4" s="3" t="str">
        <f>Proses!C4</f>
        <v>: I Made Oka Mahendra</v>
      </c>
      <c r="D4" s="8"/>
      <c r="E4" s="8"/>
      <c r="F4" s="49" t="s">
        <v>135</v>
      </c>
      <c r="G4" s="2"/>
      <c r="H4" s="14" t="str">
        <f>Proses!H4</f>
        <v>:Sistem Informasi</v>
      </c>
      <c r="I4" s="11"/>
      <c r="J4" s="11"/>
    </row>
    <row r="5" spans="1:10" x14ac:dyDescent="0.25">
      <c r="A5" s="3" t="s">
        <v>3</v>
      </c>
      <c r="B5" s="3"/>
      <c r="C5" s="1" t="str">
        <f>Proses!C5</f>
        <v>: ITB STIKOM Bali</v>
      </c>
      <c r="D5" s="8"/>
      <c r="E5" s="8"/>
      <c r="F5" s="49" t="s">
        <v>136</v>
      </c>
      <c r="G5" s="2"/>
      <c r="H5" s="14" t="str">
        <f>Proses!H5</f>
        <v>:ReNIM</v>
      </c>
      <c r="I5" s="11"/>
      <c r="J5" s="11"/>
    </row>
    <row r="6" spans="1:10" x14ac:dyDescent="0.25">
      <c r="A6" s="3" t="s">
        <v>4</v>
      </c>
      <c r="B6" s="3"/>
      <c r="C6" s="1" t="str">
        <f>Proses!C6</f>
        <v>: -</v>
      </c>
      <c r="D6" s="8"/>
      <c r="E6" s="8"/>
      <c r="F6" s="49" t="s">
        <v>137</v>
      </c>
      <c r="G6" s="2"/>
      <c r="H6" s="14" t="str">
        <f>Proses!H6</f>
        <v>: 6 Juli 2021</v>
      </c>
      <c r="I6" s="11"/>
      <c r="J6" s="11"/>
    </row>
    <row r="7" spans="1:10" x14ac:dyDescent="0.25">
      <c r="A7" s="107" t="str">
        <f>"Total SKS yang ditransfer : "&amp;D81&amp;" SKS"</f>
        <v>Total SKS yang ditransfer : 38 SKS</v>
      </c>
      <c r="B7" s="107"/>
      <c r="C7" s="107"/>
      <c r="D7" s="8"/>
      <c r="E7" s="8"/>
      <c r="F7" s="8"/>
      <c r="G7" s="2"/>
      <c r="H7" s="14"/>
      <c r="I7" s="11"/>
      <c r="J7" s="11"/>
    </row>
    <row r="8" spans="1:10" x14ac:dyDescent="0.25">
      <c r="A8" s="1"/>
      <c r="B8" s="1"/>
      <c r="C8" s="1"/>
      <c r="D8" s="8"/>
      <c r="E8" s="8"/>
      <c r="F8" s="8"/>
      <c r="G8" s="2"/>
      <c r="H8" s="14"/>
      <c r="I8" s="11"/>
      <c r="J8" s="11"/>
    </row>
    <row r="9" spans="1:10" x14ac:dyDescent="0.25">
      <c r="A9" s="124" t="s">
        <v>173</v>
      </c>
      <c r="B9" s="125"/>
      <c r="C9" s="125"/>
      <c r="D9" s="125"/>
      <c r="E9" s="125"/>
      <c r="F9" s="126"/>
      <c r="G9" s="125" t="s">
        <v>5</v>
      </c>
      <c r="H9" s="125"/>
      <c r="I9" s="125"/>
      <c r="J9" s="110"/>
    </row>
    <row r="10" spans="1:10" ht="28.5" x14ac:dyDescent="0.25">
      <c r="A10" s="4" t="s">
        <v>6</v>
      </c>
      <c r="B10" s="4" t="s">
        <v>7</v>
      </c>
      <c r="C10" s="5" t="s">
        <v>8</v>
      </c>
      <c r="D10" s="16" t="s">
        <v>9</v>
      </c>
      <c r="E10" s="16" t="s">
        <v>10</v>
      </c>
      <c r="F10" s="64" t="s">
        <v>11</v>
      </c>
      <c r="G10" s="57" t="s">
        <v>7</v>
      </c>
      <c r="H10" s="9" t="s">
        <v>8</v>
      </c>
      <c r="I10" s="9" t="s">
        <v>9</v>
      </c>
      <c r="J10" s="9" t="s">
        <v>11</v>
      </c>
    </row>
    <row r="11" spans="1:10" x14ac:dyDescent="0.25">
      <c r="A11" s="6" t="s">
        <v>12</v>
      </c>
      <c r="B11" s="6"/>
      <c r="C11" s="6"/>
      <c r="D11" s="10"/>
      <c r="E11" s="10"/>
      <c r="F11" s="65"/>
      <c r="G11" s="58"/>
      <c r="H11" s="15"/>
      <c r="I11" s="12"/>
      <c r="J11" s="15"/>
    </row>
    <row r="12" spans="1:10" x14ac:dyDescent="0.25">
      <c r="A12" s="93">
        <v>1</v>
      </c>
      <c r="B12" s="94" t="s">
        <v>13</v>
      </c>
      <c r="C12" s="71" t="s">
        <v>140</v>
      </c>
      <c r="D12" s="94">
        <v>2</v>
      </c>
      <c r="E12" s="73">
        <f>IF(AND($G12&lt;&gt;"",$H12&lt;&gt;"",$I12&lt;&gt;"",$J12&lt;&gt;""),$D12,"")</f>
        <v>2</v>
      </c>
      <c r="F12" s="95" t="str">
        <f>IF(AND($G12&lt;&gt;"",$H12&lt;&gt;"",$I12&lt;&gt;"",$J12&lt;&gt;""),$J12,"")</f>
        <v>AB</v>
      </c>
      <c r="G12" s="74" t="str">
        <f>IF(AND(Proses!$G12&lt;&gt;"",Proses!$H12&lt;&gt;"",Proses!$I12&lt;&gt;"",Proses!$J12&lt;&gt;""),Proses!G12,"")</f>
        <v>SI9105</v>
      </c>
      <c r="H12" s="77" t="str">
        <f>IF(AND(Proses!$G12&lt;&gt;"",Proses!$H12&lt;&gt;"",Proses!$I12&lt;&gt;"",Proses!$J12&lt;&gt;""),Proses!H12,"")</f>
        <v>Bahasa Inggris I</v>
      </c>
      <c r="I12" s="73">
        <f>IF(AND(Proses!$G12&lt;&gt;"",Proses!$H12&lt;&gt;"",Proses!$I12&lt;&gt;"",Proses!$J12&lt;&gt;""),Proses!I12,"")</f>
        <v>2</v>
      </c>
      <c r="J12" s="73" t="str">
        <f>IF(AND(Proses!$G12&lt;&gt;"",Proses!$H12&lt;&gt;"",Proses!$I12&lt;&gt;"",Proses!$J12&lt;&gt;""),Proses!J12,"")</f>
        <v>AB</v>
      </c>
    </row>
    <row r="13" spans="1:10" x14ac:dyDescent="0.25">
      <c r="A13" s="93">
        <v>2</v>
      </c>
      <c r="B13" s="73" t="s">
        <v>141</v>
      </c>
      <c r="C13" s="71" t="s">
        <v>14</v>
      </c>
      <c r="D13" s="94">
        <v>2</v>
      </c>
      <c r="E13" s="73">
        <f t="shared" ref="E13:E20" si="0">IF(AND($G13&lt;&gt;"",$H13&lt;&gt;"",$I13&lt;&gt;"",$J13&lt;&gt;""),$D13,"")</f>
        <v>2</v>
      </c>
      <c r="F13" s="95" t="str">
        <f t="shared" ref="F13:F20" si="1">IF(AND($G13&lt;&gt;"",$H13&lt;&gt;"",$I13&lt;&gt;"",$J13&lt;&gt;""),$J13,"")</f>
        <v>A</v>
      </c>
      <c r="G13" s="74" t="str">
        <f>IF(AND(Proses!$G13&lt;&gt;"",Proses!$H13&lt;&gt;"",Proses!$I13&lt;&gt;"",Proses!$J13&lt;&gt;""),Proses!G13,"")</f>
        <v>SI9208</v>
      </c>
      <c r="H13" s="77" t="str">
        <f>IF(AND(Proses!$G13&lt;&gt;"",Proses!$H13&lt;&gt;"",Proses!$I13&lt;&gt;"",Proses!$J13&lt;&gt;""),Proses!H13,"")</f>
        <v>Seni Budaya</v>
      </c>
      <c r="I13" s="73">
        <f>IF(AND(Proses!$G13&lt;&gt;"",Proses!$H13&lt;&gt;"",Proses!$I13&lt;&gt;"",Proses!$J13&lt;&gt;""),Proses!I13,"")</f>
        <v>2</v>
      </c>
      <c r="J13" s="73" t="str">
        <f>IF(AND(Proses!$G13&lt;&gt;"",Proses!$H13&lt;&gt;"",Proses!$I13&lt;&gt;"",Proses!$J13&lt;&gt;""),Proses!J13,"")</f>
        <v>A</v>
      </c>
    </row>
    <row r="14" spans="1:10" x14ac:dyDescent="0.25">
      <c r="A14" s="93">
        <v>3</v>
      </c>
      <c r="B14" s="94" t="s">
        <v>15</v>
      </c>
      <c r="C14" s="71" t="s">
        <v>16</v>
      </c>
      <c r="D14" s="94">
        <v>4</v>
      </c>
      <c r="E14" s="73">
        <f t="shared" si="0"/>
        <v>4</v>
      </c>
      <c r="F14" s="95" t="str">
        <f t="shared" si="1"/>
        <v>AB</v>
      </c>
      <c r="G14" s="74" t="str">
        <f>IF(AND(Proses!$G14&lt;&gt;"",Proses!$H14&lt;&gt;"",Proses!$I14&lt;&gt;"",Proses!$J14&lt;&gt;""),Proses!G14,"")</f>
        <v>SI0201</v>
      </c>
      <c r="H14" s="77" t="str">
        <f>IF(AND(Proses!$G14&lt;&gt;"",Proses!$H14&lt;&gt;"",Proses!$I14&lt;&gt;"",Proses!$J14&lt;&gt;""),Proses!H14,"")</f>
        <v>Matematika Diskrit</v>
      </c>
      <c r="I14" s="73">
        <f>IF(AND(Proses!$G14&lt;&gt;"",Proses!$H14&lt;&gt;"",Proses!$I14&lt;&gt;"",Proses!$J14&lt;&gt;""),Proses!I14,"")</f>
        <v>4</v>
      </c>
      <c r="J14" s="73" t="str">
        <f>IF(AND(Proses!$G14&lt;&gt;"",Proses!$H14&lt;&gt;"",Proses!$I14&lt;&gt;"",Proses!$J14&lt;&gt;""),Proses!J14,"")</f>
        <v>AB</v>
      </c>
    </row>
    <row r="15" spans="1:10" x14ac:dyDescent="0.25">
      <c r="A15" s="93">
        <v>4</v>
      </c>
      <c r="B15" s="94" t="s">
        <v>17</v>
      </c>
      <c r="C15" s="75" t="s">
        <v>18</v>
      </c>
      <c r="D15" s="94">
        <v>2</v>
      </c>
      <c r="E15" s="73">
        <f t="shared" si="0"/>
        <v>2</v>
      </c>
      <c r="F15" s="95" t="str">
        <f t="shared" si="1"/>
        <v>AB</v>
      </c>
      <c r="G15" s="74" t="str">
        <f>IF(AND(Proses!$G15&lt;&gt;"",Proses!$H15&lt;&gt;"",Proses!$I15&lt;&gt;"",Proses!$J15&lt;&gt;""),Proses!G15,"")</f>
        <v>SI0202</v>
      </c>
      <c r="H15" s="77" t="str">
        <f>IF(AND(Proses!$G15&lt;&gt;"",Proses!$H15&lt;&gt;"",Proses!$I15&lt;&gt;"",Proses!$J15&lt;&gt;""),Proses!H15,"")</f>
        <v>Algoritma dan Pemrograman</v>
      </c>
      <c r="I15" s="73">
        <f>IF(AND(Proses!$G15&lt;&gt;"",Proses!$H15&lt;&gt;"",Proses!$I15&lt;&gt;"",Proses!$J15&lt;&gt;""),Proses!I15,"")</f>
        <v>2</v>
      </c>
      <c r="J15" s="73" t="str">
        <f>IF(AND(Proses!$G15&lt;&gt;"",Proses!$H15&lt;&gt;"",Proses!$I15&lt;&gt;"",Proses!$J15&lt;&gt;""),Proses!J15,"")</f>
        <v>AB</v>
      </c>
    </row>
    <row r="16" spans="1:10" x14ac:dyDescent="0.25">
      <c r="A16" s="93">
        <v>5</v>
      </c>
      <c r="B16" s="94" t="s">
        <v>37</v>
      </c>
      <c r="C16" s="75" t="s">
        <v>19</v>
      </c>
      <c r="D16" s="94">
        <v>1</v>
      </c>
      <c r="E16" s="73">
        <f t="shared" si="0"/>
        <v>1</v>
      </c>
      <c r="F16" s="95" t="str">
        <f t="shared" si="1"/>
        <v>AB</v>
      </c>
      <c r="G16" s="74" t="str">
        <f>IF(AND(Proses!$G16&lt;&gt;"",Proses!$H16&lt;&gt;"",Proses!$I16&lt;&gt;"",Proses!$J16&lt;&gt;""),Proses!G16,"")</f>
        <v>SI0304</v>
      </c>
      <c r="H16" s="77" t="str">
        <f>IF(AND(Proses!$G16&lt;&gt;"",Proses!$H16&lt;&gt;"",Proses!$I16&lt;&gt;"",Proses!$J16&lt;&gt;""),Proses!H16,"")</f>
        <v>Praktikum Algoritma dan Pemrograman</v>
      </c>
      <c r="I16" s="73">
        <f>IF(AND(Proses!$G16&lt;&gt;"",Proses!$H16&lt;&gt;"",Proses!$I16&lt;&gt;"",Proses!$J16&lt;&gt;""),Proses!I16,"")</f>
        <v>1</v>
      </c>
      <c r="J16" s="73" t="str">
        <f>IF(AND(Proses!$G16&lt;&gt;"",Proses!$H16&lt;&gt;"",Proses!$I16&lt;&gt;"",Proses!$J16&lt;&gt;""),Proses!J16,"")</f>
        <v>AB</v>
      </c>
    </row>
    <row r="17" spans="1:10" x14ac:dyDescent="0.25">
      <c r="A17" s="93">
        <v>6</v>
      </c>
      <c r="B17" s="94" t="s">
        <v>20</v>
      </c>
      <c r="C17" s="71" t="s">
        <v>21</v>
      </c>
      <c r="D17" s="94">
        <v>2</v>
      </c>
      <c r="E17" s="73">
        <f t="shared" si="0"/>
        <v>2</v>
      </c>
      <c r="F17" s="95" t="str">
        <f t="shared" si="1"/>
        <v>AB</v>
      </c>
      <c r="G17" s="74" t="str">
        <f>IF(AND(Proses!$G17&lt;&gt;"",Proses!$H17&lt;&gt;"",Proses!$I17&lt;&gt;"",Proses!$J17&lt;&gt;""),Proses!G17,"")</f>
        <v>SI9203</v>
      </c>
      <c r="H17" s="77" t="str">
        <f>IF(AND(Proses!$G17&lt;&gt;"",Proses!$H17&lt;&gt;"",Proses!$I17&lt;&gt;"",Proses!$J17&lt;&gt;""),Proses!H17,"")</f>
        <v>Pengantar Teknologi Informasi</v>
      </c>
      <c r="I17" s="73">
        <f>IF(AND(Proses!$G17&lt;&gt;"",Proses!$H17&lt;&gt;"",Proses!$I17&lt;&gt;"",Proses!$J17&lt;&gt;""),Proses!I17,"")</f>
        <v>2</v>
      </c>
      <c r="J17" s="73" t="str">
        <f>IF(AND(Proses!$G17&lt;&gt;"",Proses!$H17&lt;&gt;"",Proses!$I17&lt;&gt;"",Proses!$J17&lt;&gt;""),Proses!J17,"")</f>
        <v>AB</v>
      </c>
    </row>
    <row r="18" spans="1:10" x14ac:dyDescent="0.25">
      <c r="A18" s="93">
        <v>7</v>
      </c>
      <c r="B18" s="94" t="s">
        <v>22</v>
      </c>
      <c r="C18" s="71" t="s">
        <v>23</v>
      </c>
      <c r="D18" s="94">
        <v>1</v>
      </c>
      <c r="E18" s="73">
        <f t="shared" si="0"/>
        <v>1</v>
      </c>
      <c r="F18" s="95" t="str">
        <f t="shared" si="1"/>
        <v>B</v>
      </c>
      <c r="G18" s="74" t="str">
        <f>IF(AND(Proses!$G18&lt;&gt;"",Proses!$H18&lt;&gt;"",Proses!$I18&lt;&gt;"",Proses!$J18&lt;&gt;""),Proses!G18,"")</f>
        <v>SI9301</v>
      </c>
      <c r="H18" s="77" t="str">
        <f>IF(AND(Proses!$G18&lt;&gt;"",Proses!$H18&lt;&gt;"",Proses!$I18&lt;&gt;"",Proses!$J18&lt;&gt;""),Proses!H18,"")</f>
        <v>Praktikum Pengantar Teknologi Informasi</v>
      </c>
      <c r="I18" s="73">
        <f>IF(AND(Proses!$G18&lt;&gt;"",Proses!$H18&lt;&gt;"",Proses!$I18&lt;&gt;"",Proses!$J18&lt;&gt;""),Proses!I18,"")</f>
        <v>1</v>
      </c>
      <c r="J18" s="73" t="str">
        <f>IF(AND(Proses!$G18&lt;&gt;"",Proses!$H18&lt;&gt;"",Proses!$I18&lt;&gt;"",Proses!$J18&lt;&gt;""),Proses!J18,"")</f>
        <v>B</v>
      </c>
    </row>
    <row r="19" spans="1:10" x14ac:dyDescent="0.25">
      <c r="A19" s="93">
        <v>8</v>
      </c>
      <c r="B19" s="94" t="s">
        <v>24</v>
      </c>
      <c r="C19" s="71" t="s">
        <v>25</v>
      </c>
      <c r="D19" s="94">
        <v>2</v>
      </c>
      <c r="E19" s="73">
        <f t="shared" si="0"/>
        <v>2</v>
      </c>
      <c r="F19" s="95" t="str">
        <f t="shared" si="1"/>
        <v>A</v>
      </c>
      <c r="G19" s="74" t="str">
        <f>IF(AND(Proses!$G19&lt;&gt;"",Proses!$H19&lt;&gt;"",Proses!$I19&lt;&gt;"",Proses!$J19&lt;&gt;""),Proses!G19,"")</f>
        <v>SI0102</v>
      </c>
      <c r="H19" s="77" t="str">
        <f>IF(AND(Proses!$G19&lt;&gt;"",Proses!$H19&lt;&gt;"",Proses!$I19&lt;&gt;"",Proses!$J19&lt;&gt;""),Proses!H19,"")</f>
        <v>Pancasila</v>
      </c>
      <c r="I19" s="73">
        <f>IF(AND(Proses!$G19&lt;&gt;"",Proses!$H19&lt;&gt;"",Proses!$I19&lt;&gt;"",Proses!$J19&lt;&gt;""),Proses!I19,"")</f>
        <v>2</v>
      </c>
      <c r="J19" s="73" t="str">
        <f>IF(AND(Proses!$G19&lt;&gt;"",Proses!$H19&lt;&gt;"",Proses!$I19&lt;&gt;"",Proses!$J19&lt;&gt;""),Proses!J19,"")</f>
        <v>A</v>
      </c>
    </row>
    <row r="20" spans="1:10" x14ac:dyDescent="0.25">
      <c r="A20" s="93">
        <v>9</v>
      </c>
      <c r="B20" s="94" t="s">
        <v>142</v>
      </c>
      <c r="C20" s="71" t="s">
        <v>26</v>
      </c>
      <c r="D20" s="94">
        <v>2</v>
      </c>
      <c r="E20" s="73" t="str">
        <f t="shared" si="0"/>
        <v/>
      </c>
      <c r="F20" s="95" t="str">
        <f t="shared" si="1"/>
        <v/>
      </c>
      <c r="G20" s="74" t="str">
        <f>IF(AND(Proses!$G20&lt;&gt;"",Proses!$H20&lt;&gt;"",Proses!$I20&lt;&gt;"",Proses!$J20&lt;&gt;""),Proses!G20,"")</f>
        <v/>
      </c>
      <c r="H20" s="77" t="str">
        <f>IF(AND(Proses!$G20&lt;&gt;"",Proses!$H20&lt;&gt;"",Proses!$I20&lt;&gt;"",Proses!$J20&lt;&gt;""),Proses!H20,"")</f>
        <v/>
      </c>
      <c r="I20" s="73" t="str">
        <f>IF(AND(Proses!$G20&lt;&gt;"",Proses!$H20&lt;&gt;"",Proses!$I20&lt;&gt;"",Proses!$J20&lt;&gt;""),Proses!I20,"")</f>
        <v/>
      </c>
      <c r="J20" s="73" t="str">
        <f>IF(AND(Proses!$G20&lt;&gt;"",Proses!$H20&lt;&gt;"",Proses!$I20&lt;&gt;"",Proses!$J20&lt;&gt;""),Proses!J20,"")</f>
        <v/>
      </c>
    </row>
    <row r="21" spans="1:10" x14ac:dyDescent="0.25">
      <c r="A21" s="111" t="s">
        <v>27</v>
      </c>
      <c r="B21" s="112"/>
      <c r="C21" s="113"/>
      <c r="D21" s="28">
        <f>SUM(D12:D20)</f>
        <v>18</v>
      </c>
      <c r="E21" s="43">
        <f>IF(Proses!E21 &lt;&gt;"",Proses!E21,"")</f>
        <v>16</v>
      </c>
      <c r="F21" s="101" t="str">
        <f>IF(Proses!F21 &lt;&gt;"",Proses!F21,"")</f>
        <v/>
      </c>
      <c r="G21" s="100" t="str">
        <f>IF(Proses!G21 &lt;&gt;"",Proses!G21,"")</f>
        <v/>
      </c>
      <c r="H21" s="44" t="str">
        <f>IF(Proses!H21 &lt;&gt;"",Proses!H21,"")</f>
        <v/>
      </c>
      <c r="I21" s="43" t="str">
        <f>IF(Proses!I21 &lt;&gt;"",Proses!I21,"")</f>
        <v/>
      </c>
      <c r="J21" s="43" t="str">
        <f>IF(Proses!J21 &lt;&gt;"",Proses!J21,"")</f>
        <v/>
      </c>
    </row>
    <row r="22" spans="1:10" x14ac:dyDescent="0.25">
      <c r="A22" s="6" t="s">
        <v>28</v>
      </c>
      <c r="B22" s="6"/>
      <c r="C22" s="6"/>
      <c r="D22" s="17"/>
      <c r="E22" s="43" t="str">
        <f>IF(Proses!E22 &lt;&gt;"",Proses!E22,"")</f>
        <v/>
      </c>
      <c r="F22" s="101" t="str">
        <f>IF(Proses!F22 &lt;&gt;"",Proses!F22,"")</f>
        <v/>
      </c>
      <c r="G22" s="100" t="str">
        <f>IF(Proses!G22 &lt;&gt;"",Proses!G22,"")</f>
        <v/>
      </c>
      <c r="H22" s="44" t="str">
        <f>IF(Proses!H22 &lt;&gt;"",Proses!H22,"")</f>
        <v/>
      </c>
      <c r="I22" s="43" t="str">
        <f>IF(Proses!I22 &lt;&gt;"",Proses!I22,"")</f>
        <v/>
      </c>
      <c r="J22" s="43" t="str">
        <f>IF(Proses!J22 &lt;&gt;"",Proses!J22,"")</f>
        <v/>
      </c>
    </row>
    <row r="23" spans="1:10" x14ac:dyDescent="0.25">
      <c r="A23" s="93">
        <v>1</v>
      </c>
      <c r="B23" s="94" t="s">
        <v>143</v>
      </c>
      <c r="C23" s="75" t="s">
        <v>30</v>
      </c>
      <c r="D23" s="94">
        <v>4</v>
      </c>
      <c r="E23" s="73">
        <f t="shared" ref="E23:E31" si="2">IF(AND($G23&lt;&gt;"",$H23&lt;&gt;"",$I23&lt;&gt;"",$J23&lt;&gt;""),$D23,"")</f>
        <v>4</v>
      </c>
      <c r="F23" s="95" t="str">
        <f t="shared" ref="F23:F31" si="3">IF(AND($G23&lt;&gt;"",$H23&lt;&gt;"",$I23&lt;&gt;"",$J23&lt;&gt;""),$J23,"")</f>
        <v>C</v>
      </c>
      <c r="G23" s="74" t="str">
        <f>IF(AND(Proses!$G23&lt;&gt;"",Proses!$H23&lt;&gt;"",Proses!$I23&lt;&gt;"",Proses!$J23&lt;&gt;""),Proses!G23,"")</f>
        <v>SI0204</v>
      </c>
      <c r="H23" s="77" t="str">
        <f>IF(AND(Proses!$G23&lt;&gt;"",Proses!$H23&lt;&gt;"",Proses!$I23&lt;&gt;"",Proses!$J23&lt;&gt;""),Proses!H23,"")</f>
        <v>Komunikasi Data</v>
      </c>
      <c r="I23" s="73">
        <f>IF(AND(Proses!$G23&lt;&gt;"",Proses!$H23&lt;&gt;"",Proses!$I23&lt;&gt;"",Proses!$J23&lt;&gt;""),Proses!I23,"")</f>
        <v>4</v>
      </c>
      <c r="J23" s="73" t="str">
        <f>IF(AND(Proses!$G23&lt;&gt;"",Proses!$H23&lt;&gt;"",Proses!$I23&lt;&gt;"",Proses!$J23&lt;&gt;""),Proses!J23,"")</f>
        <v>C</v>
      </c>
    </row>
    <row r="24" spans="1:10" x14ac:dyDescent="0.25">
      <c r="A24" s="93">
        <v>2</v>
      </c>
      <c r="B24" s="94" t="s">
        <v>29</v>
      </c>
      <c r="C24" s="75" t="s">
        <v>32</v>
      </c>
      <c r="D24" s="94">
        <v>2</v>
      </c>
      <c r="E24" s="73">
        <f t="shared" si="2"/>
        <v>2</v>
      </c>
      <c r="F24" s="95" t="str">
        <f t="shared" si="3"/>
        <v>B</v>
      </c>
      <c r="G24" s="74" t="str">
        <f>IF(AND(Proses!$G24&lt;&gt;"",Proses!$H24&lt;&gt;"",Proses!$I24&lt;&gt;"",Proses!$J24&lt;&gt;""),Proses!G24,"")</f>
        <v>SI0205</v>
      </c>
      <c r="H24" s="77" t="str">
        <f>IF(AND(Proses!$G24&lt;&gt;"",Proses!$H24&lt;&gt;"",Proses!$I24&lt;&gt;"",Proses!$J24&lt;&gt;""),Proses!H24,"")</f>
        <v>Basis Data</v>
      </c>
      <c r="I24" s="73">
        <f>IF(AND(Proses!$G24&lt;&gt;"",Proses!$H24&lt;&gt;"",Proses!$I24&lt;&gt;"",Proses!$J24&lt;&gt;""),Proses!I24,"")</f>
        <v>2</v>
      </c>
      <c r="J24" s="73" t="str">
        <f>IF(AND(Proses!$G24&lt;&gt;"",Proses!$H24&lt;&gt;"",Proses!$I24&lt;&gt;"",Proses!$J24&lt;&gt;""),Proses!J24,"")</f>
        <v>B</v>
      </c>
    </row>
    <row r="25" spans="1:10" x14ac:dyDescent="0.25">
      <c r="A25" s="93">
        <v>3</v>
      </c>
      <c r="B25" s="94" t="s">
        <v>144</v>
      </c>
      <c r="C25" s="75" t="s">
        <v>34</v>
      </c>
      <c r="D25" s="94">
        <v>1</v>
      </c>
      <c r="E25" s="73" t="str">
        <f t="shared" si="2"/>
        <v/>
      </c>
      <c r="F25" s="95" t="str">
        <f t="shared" si="3"/>
        <v/>
      </c>
      <c r="G25" s="74" t="str">
        <f>IF(AND(Proses!$G25&lt;&gt;"",Proses!$H25&lt;&gt;"",Proses!$I25&lt;&gt;"",Proses!$J25&lt;&gt;""),Proses!G25,"")</f>
        <v/>
      </c>
      <c r="H25" s="77" t="str">
        <f>IF(AND(Proses!$G25&lt;&gt;"",Proses!$H25&lt;&gt;"",Proses!$I25&lt;&gt;"",Proses!$J25&lt;&gt;""),Proses!H25,"")</f>
        <v/>
      </c>
      <c r="I25" s="73" t="str">
        <f>IF(AND(Proses!$G25&lt;&gt;"",Proses!$H25&lt;&gt;"",Proses!$I25&lt;&gt;"",Proses!$J25&lt;&gt;""),Proses!I25,"")</f>
        <v/>
      </c>
      <c r="J25" s="73" t="str">
        <f>IF(AND(Proses!$G25&lt;&gt;"",Proses!$H25&lt;&gt;"",Proses!$I25&lt;&gt;"",Proses!$J25&lt;&gt;""),Proses!J25,"")</f>
        <v/>
      </c>
    </row>
    <row r="26" spans="1:10" x14ac:dyDescent="0.25">
      <c r="A26" s="93">
        <v>4</v>
      </c>
      <c r="B26" s="94" t="s">
        <v>31</v>
      </c>
      <c r="C26" s="75" t="s">
        <v>36</v>
      </c>
      <c r="D26" s="94">
        <v>2</v>
      </c>
      <c r="E26" s="73">
        <f t="shared" si="2"/>
        <v>2</v>
      </c>
      <c r="F26" s="95" t="str">
        <f t="shared" si="3"/>
        <v>A</v>
      </c>
      <c r="G26" s="74" t="str">
        <f>IF(AND(Proses!$G26&lt;&gt;"",Proses!$H26&lt;&gt;"",Proses!$I26&lt;&gt;"",Proses!$J26&lt;&gt;""),Proses!G26,"")</f>
        <v>SI0206</v>
      </c>
      <c r="H26" s="77" t="str">
        <f>IF(AND(Proses!$G26&lt;&gt;"",Proses!$H26&lt;&gt;"",Proses!$I26&lt;&gt;"",Proses!$J26&lt;&gt;""),Proses!H26,"")</f>
        <v>Struktur Data</v>
      </c>
      <c r="I26" s="73">
        <f>IF(AND(Proses!$G26&lt;&gt;"",Proses!$H26&lt;&gt;"",Proses!$I26&lt;&gt;"",Proses!$J26&lt;&gt;""),Proses!I26,"")</f>
        <v>2</v>
      </c>
      <c r="J26" s="73" t="str">
        <f>IF(AND(Proses!$G26&lt;&gt;"",Proses!$H26&lt;&gt;"",Proses!$I26&lt;&gt;"",Proses!$J26&lt;&gt;""),Proses!J26,"")</f>
        <v>A</v>
      </c>
    </row>
    <row r="27" spans="1:10" x14ac:dyDescent="0.25">
      <c r="A27" s="93">
        <v>5</v>
      </c>
      <c r="B27" s="94" t="s">
        <v>33</v>
      </c>
      <c r="C27" s="75" t="s">
        <v>38</v>
      </c>
      <c r="D27" s="94">
        <v>1</v>
      </c>
      <c r="E27" s="73">
        <f t="shared" si="2"/>
        <v>1</v>
      </c>
      <c r="F27" s="95" t="str">
        <f t="shared" si="3"/>
        <v>C</v>
      </c>
      <c r="G27" s="74" t="str">
        <f>IF(AND(Proses!$G27&lt;&gt;"",Proses!$H27&lt;&gt;"",Proses!$I27&lt;&gt;"",Proses!$J27&lt;&gt;""),Proses!G27,"")</f>
        <v>SI0303</v>
      </c>
      <c r="H27" s="77" t="str">
        <f>IF(AND(Proses!$G27&lt;&gt;"",Proses!$H27&lt;&gt;"",Proses!$I27&lt;&gt;"",Proses!$J27&lt;&gt;""),Proses!H27,"")</f>
        <v>Praktikum Struktur Data</v>
      </c>
      <c r="I27" s="73">
        <f>IF(AND(Proses!$G27&lt;&gt;"",Proses!$H27&lt;&gt;"",Proses!$I27&lt;&gt;"",Proses!$J27&lt;&gt;""),Proses!I27,"")</f>
        <v>1</v>
      </c>
      <c r="J27" s="73" t="str">
        <f>IF(AND(Proses!$G27&lt;&gt;"",Proses!$H27&lt;&gt;"",Proses!$I27&lt;&gt;"",Proses!$J27&lt;&gt;""),Proses!J27,"")</f>
        <v>C</v>
      </c>
    </row>
    <row r="28" spans="1:10" x14ac:dyDescent="0.25">
      <c r="A28" s="93">
        <v>6</v>
      </c>
      <c r="B28" s="94" t="s">
        <v>145</v>
      </c>
      <c r="C28" s="75" t="s">
        <v>39</v>
      </c>
      <c r="D28" s="94">
        <v>2</v>
      </c>
      <c r="E28" s="73">
        <f t="shared" si="2"/>
        <v>2</v>
      </c>
      <c r="F28" s="95" t="str">
        <f t="shared" si="3"/>
        <v>C</v>
      </c>
      <c r="G28" s="74" t="str">
        <f>IF(AND(Proses!$G28&lt;&gt;"",Proses!$H28&lt;&gt;"",Proses!$I28&lt;&gt;"",Proses!$J28&lt;&gt;""),Proses!G28,"")</f>
        <v>SI9207</v>
      </c>
      <c r="H28" s="77" t="str">
        <f>IF(AND(Proses!$G28&lt;&gt;"",Proses!$H28&lt;&gt;"",Proses!$I28&lt;&gt;"",Proses!$J28&lt;&gt;""),Proses!H28,"")</f>
        <v>Organisasi Komputer</v>
      </c>
      <c r="I28" s="73">
        <f>IF(AND(Proses!$G28&lt;&gt;"",Proses!$H28&lt;&gt;"",Proses!$I28&lt;&gt;"",Proses!$J28&lt;&gt;""),Proses!I28,"")</f>
        <v>2</v>
      </c>
      <c r="J28" s="73" t="str">
        <f>IF(AND(Proses!$G28&lt;&gt;"",Proses!$H28&lt;&gt;"",Proses!$I28&lt;&gt;"",Proses!$J28&lt;&gt;""),Proses!J28,"")</f>
        <v>C</v>
      </c>
    </row>
    <row r="29" spans="1:10" x14ac:dyDescent="0.25">
      <c r="A29" s="93">
        <v>7</v>
      </c>
      <c r="B29" s="94" t="s">
        <v>40</v>
      </c>
      <c r="C29" s="75" t="s">
        <v>41</v>
      </c>
      <c r="D29" s="94">
        <v>2</v>
      </c>
      <c r="E29" s="73" t="str">
        <f t="shared" si="2"/>
        <v/>
      </c>
      <c r="F29" s="95" t="str">
        <f t="shared" si="3"/>
        <v/>
      </c>
      <c r="G29" s="74" t="str">
        <f>IF(AND(Proses!$G29&lt;&gt;"",Proses!$H29&lt;&gt;"",Proses!$I29&lt;&gt;"",Proses!$J29&lt;&gt;""),Proses!G29,"")</f>
        <v/>
      </c>
      <c r="H29" s="77" t="str">
        <f>IF(AND(Proses!$G29&lt;&gt;"",Proses!$H29&lt;&gt;"",Proses!$I29&lt;&gt;"",Proses!$J29&lt;&gt;""),Proses!H29,"")</f>
        <v/>
      </c>
      <c r="I29" s="73" t="str">
        <f>IF(AND(Proses!$G29&lt;&gt;"",Proses!$H29&lt;&gt;"",Proses!$I29&lt;&gt;"",Proses!$J29&lt;&gt;""),Proses!I29,"")</f>
        <v/>
      </c>
      <c r="J29" s="73" t="str">
        <f>IF(AND(Proses!$G29&lt;&gt;"",Proses!$H29&lt;&gt;"",Proses!$I29&lt;&gt;"",Proses!$J29&lt;&gt;""),Proses!J29,"")</f>
        <v/>
      </c>
    </row>
    <row r="30" spans="1:10" x14ac:dyDescent="0.25">
      <c r="A30" s="93">
        <v>8</v>
      </c>
      <c r="B30" s="94" t="s">
        <v>42</v>
      </c>
      <c r="C30" s="75" t="s">
        <v>43</v>
      </c>
      <c r="D30" s="94">
        <v>2</v>
      </c>
      <c r="E30" s="73" t="str">
        <f t="shared" si="2"/>
        <v/>
      </c>
      <c r="F30" s="95" t="str">
        <f t="shared" si="3"/>
        <v/>
      </c>
      <c r="G30" s="74" t="str">
        <f>IF(AND(Proses!$G30&lt;&gt;"",Proses!$H30&lt;&gt;"",Proses!$I30&lt;&gt;"",Proses!$J30&lt;&gt;""),Proses!G30,"")</f>
        <v/>
      </c>
      <c r="H30" s="77" t="str">
        <f>IF(AND(Proses!$G30&lt;&gt;"",Proses!$H30&lt;&gt;"",Proses!$I30&lt;&gt;"",Proses!$J30&lt;&gt;""),Proses!H30,"")</f>
        <v/>
      </c>
      <c r="I30" s="73" t="str">
        <f>IF(AND(Proses!$G30&lt;&gt;"",Proses!$H30&lt;&gt;"",Proses!$I30&lt;&gt;"",Proses!$J30&lt;&gt;""),Proses!I30,"")</f>
        <v/>
      </c>
      <c r="J30" s="73" t="str">
        <f>IF(AND(Proses!$G30&lt;&gt;"",Proses!$H30&lt;&gt;"",Proses!$I30&lt;&gt;"",Proses!$J30&lt;&gt;""),Proses!J30,"")</f>
        <v/>
      </c>
    </row>
    <row r="31" spans="1:10" x14ac:dyDescent="0.25">
      <c r="A31" s="93">
        <v>9</v>
      </c>
      <c r="B31" s="94" t="s">
        <v>44</v>
      </c>
      <c r="C31" s="75" t="s">
        <v>45</v>
      </c>
      <c r="D31" s="94">
        <v>2</v>
      </c>
      <c r="E31" s="73" t="str">
        <f t="shared" si="2"/>
        <v/>
      </c>
      <c r="F31" s="95" t="str">
        <f t="shared" si="3"/>
        <v/>
      </c>
      <c r="G31" s="74" t="str">
        <f>IF(AND(Proses!$G31&lt;&gt;"",Proses!$H31&lt;&gt;"",Proses!$I31&lt;&gt;"",Proses!$J31&lt;&gt;""),Proses!G31,"")</f>
        <v/>
      </c>
      <c r="H31" s="77" t="str">
        <f>IF(AND(Proses!$G31&lt;&gt;"",Proses!$H31&lt;&gt;"",Proses!$I31&lt;&gt;"",Proses!$J31&lt;&gt;""),Proses!H31,"")</f>
        <v/>
      </c>
      <c r="I31" s="73" t="str">
        <f>IF(AND(Proses!$G31&lt;&gt;"",Proses!$H31&lt;&gt;"",Proses!$I31&lt;&gt;"",Proses!$J31&lt;&gt;""),Proses!I31,"")</f>
        <v/>
      </c>
      <c r="J31" s="73" t="str">
        <f>IF(AND(Proses!$G31&lt;&gt;"",Proses!$H31&lt;&gt;"",Proses!$I31&lt;&gt;"",Proses!$J31&lt;&gt;""),Proses!J31,"")</f>
        <v/>
      </c>
    </row>
    <row r="32" spans="1:10" x14ac:dyDescent="0.25">
      <c r="A32" s="114" t="s">
        <v>27</v>
      </c>
      <c r="B32" s="115"/>
      <c r="C32" s="116"/>
      <c r="D32" s="23">
        <f>SUM(D23:D31)</f>
        <v>18</v>
      </c>
      <c r="E32" s="43">
        <f>IF(Proses!E32 &lt;&gt;"",Proses!E32,"")</f>
        <v>11</v>
      </c>
      <c r="F32" s="101" t="str">
        <f>IF(Proses!F32 &lt;&gt;"",Proses!F32,"")</f>
        <v/>
      </c>
      <c r="G32" s="100" t="str">
        <f>IF(Proses!G32 &lt;&gt;"",Proses!G32,"")</f>
        <v/>
      </c>
      <c r="H32" s="44" t="str">
        <f>IF(Proses!H32 &lt;&gt;"",Proses!H32,"")</f>
        <v/>
      </c>
      <c r="I32" s="43" t="str">
        <f>IF(Proses!I32 &lt;&gt;"",Proses!I32,"")</f>
        <v/>
      </c>
      <c r="J32" s="43" t="str">
        <f>IF(Proses!J32 &lt;&gt;"",Proses!J32,"")</f>
        <v/>
      </c>
    </row>
    <row r="33" spans="1:10" x14ac:dyDescent="0.25">
      <c r="A33" s="6" t="s">
        <v>46</v>
      </c>
      <c r="B33" s="6"/>
      <c r="C33" s="6"/>
      <c r="D33" s="17"/>
      <c r="E33" s="43" t="str">
        <f>IF(Proses!E33 &lt;&gt;"",Proses!E33,"")</f>
        <v/>
      </c>
      <c r="F33" s="101" t="str">
        <f>IF(Proses!F33 &lt;&gt;"",Proses!F33,"")</f>
        <v/>
      </c>
      <c r="G33" s="100" t="str">
        <f>IF(Proses!G33 &lt;&gt;"",Proses!G33,"")</f>
        <v/>
      </c>
      <c r="H33" s="44" t="str">
        <f>IF(Proses!H33 &lt;&gt;"",Proses!H33,"")</f>
        <v/>
      </c>
      <c r="I33" s="43" t="str">
        <f>IF(Proses!I33 &lt;&gt;"",Proses!I33,"")</f>
        <v/>
      </c>
      <c r="J33" s="43" t="str">
        <f>IF(Proses!J33 &lt;&gt;"",Proses!J33,"")</f>
        <v/>
      </c>
    </row>
    <row r="34" spans="1:10" x14ac:dyDescent="0.25">
      <c r="A34" s="93">
        <v>1</v>
      </c>
      <c r="B34" s="94" t="s">
        <v>35</v>
      </c>
      <c r="C34" s="71" t="s">
        <v>48</v>
      </c>
      <c r="D34" s="94">
        <v>2</v>
      </c>
      <c r="E34" s="73">
        <f t="shared" ref="E34:E40" si="4">IF(AND($G34&lt;&gt;"",$H34&lt;&gt;"",$I34&lt;&gt;"",$J34&lt;&gt;""),$D34,"")</f>
        <v>2</v>
      </c>
      <c r="F34" s="95" t="str">
        <f t="shared" ref="F34:F40" si="5">IF(AND($G34&lt;&gt;"",$H34&lt;&gt;"",$I34&lt;&gt;"",$J34&lt;&gt;""),$J34,"")</f>
        <v>BC</v>
      </c>
      <c r="G34" s="74" t="str">
        <f>IF(AND(Proses!$G34&lt;&gt;"",Proses!$H34&lt;&gt;"",Proses!$I34&lt;&gt;"",Proses!$J34&lt;&gt;""),Proses!G34,"")</f>
        <v>SI0209</v>
      </c>
      <c r="H34" s="77" t="str">
        <f>IF(AND(Proses!$G34&lt;&gt;"",Proses!$H34&lt;&gt;"",Proses!$I34&lt;&gt;"",Proses!$J34&lt;&gt;""),Proses!H34,"")</f>
        <v xml:space="preserve">Jaringan Komputer </v>
      </c>
      <c r="I34" s="73">
        <f>IF(AND(Proses!$G34&lt;&gt;"",Proses!$H34&lt;&gt;"",Proses!$I34&lt;&gt;"",Proses!$J34&lt;&gt;""),Proses!I34,"")</f>
        <v>2</v>
      </c>
      <c r="J34" s="73" t="str">
        <f>IF(AND(Proses!$G34&lt;&gt;"",Proses!$H34&lt;&gt;"",Proses!$I34&lt;&gt;"",Proses!$J34&lt;&gt;""),Proses!J34,"")</f>
        <v>BC</v>
      </c>
    </row>
    <row r="35" spans="1:10" x14ac:dyDescent="0.25">
      <c r="A35" s="93">
        <v>2</v>
      </c>
      <c r="B35" s="94" t="s">
        <v>49</v>
      </c>
      <c r="C35" s="71" t="s">
        <v>50</v>
      </c>
      <c r="D35" s="94">
        <v>1</v>
      </c>
      <c r="E35" s="73">
        <f t="shared" si="4"/>
        <v>1</v>
      </c>
      <c r="F35" s="95" t="str">
        <f t="shared" si="5"/>
        <v>AB</v>
      </c>
      <c r="G35" s="74" t="str">
        <f>IF(AND(Proses!$G35&lt;&gt;"",Proses!$H35&lt;&gt;"",Proses!$I35&lt;&gt;"",Proses!$J35&lt;&gt;""),Proses!G35,"")</f>
        <v>SI0305</v>
      </c>
      <c r="H35" s="77" t="str">
        <f>IF(AND(Proses!$G35&lt;&gt;"",Proses!$H35&lt;&gt;"",Proses!$I35&lt;&gt;"",Proses!$J35&lt;&gt;""),Proses!H35,"")</f>
        <v xml:space="preserve">Praktikum Jaringan Komputer </v>
      </c>
      <c r="I35" s="73">
        <f>IF(AND(Proses!$G35&lt;&gt;"",Proses!$H35&lt;&gt;"",Proses!$I35&lt;&gt;"",Proses!$J35&lt;&gt;""),Proses!I35,"")</f>
        <v>1</v>
      </c>
      <c r="J35" s="73" t="str">
        <f>IF(AND(Proses!$G35&lt;&gt;"",Proses!$H35&lt;&gt;"",Proses!$I35&lt;&gt;"",Proses!$J35&lt;&gt;""),Proses!J35,"")</f>
        <v>AB</v>
      </c>
    </row>
    <row r="36" spans="1:10" x14ac:dyDescent="0.25">
      <c r="A36" s="93">
        <v>3</v>
      </c>
      <c r="B36" s="94" t="s">
        <v>51</v>
      </c>
      <c r="C36" s="71" t="s">
        <v>52</v>
      </c>
      <c r="D36" s="94">
        <v>4</v>
      </c>
      <c r="E36" s="73">
        <f t="shared" si="4"/>
        <v>4</v>
      </c>
      <c r="F36" s="95" t="str">
        <f t="shared" si="5"/>
        <v>BC</v>
      </c>
      <c r="G36" s="74" t="str">
        <f>IF(AND(Proses!$G36&lt;&gt;"",Proses!$H36&lt;&gt;"",Proses!$I36&lt;&gt;"",Proses!$J36&lt;&gt;""),Proses!G36,"")</f>
        <v>SI0306</v>
      </c>
      <c r="H36" s="77" t="str">
        <f>IF(AND(Proses!$G36&lt;&gt;"",Proses!$H36&lt;&gt;"",Proses!$I36&lt;&gt;"",Proses!$J36&lt;&gt;""),Proses!H36,"")</f>
        <v>Perancangan Web</v>
      </c>
      <c r="I36" s="73">
        <f>IF(AND(Proses!$G36&lt;&gt;"",Proses!$H36&lt;&gt;"",Proses!$I36&lt;&gt;"",Proses!$J36&lt;&gt;""),Proses!I36,"")</f>
        <v>4</v>
      </c>
      <c r="J36" s="73" t="str">
        <f>IF(AND(Proses!$G36&lt;&gt;"",Proses!$H36&lt;&gt;"",Proses!$I36&lt;&gt;"",Proses!$J36&lt;&gt;""),Proses!J36,"")</f>
        <v>BC</v>
      </c>
    </row>
    <row r="37" spans="1:10" x14ac:dyDescent="0.25">
      <c r="A37" s="93">
        <v>4</v>
      </c>
      <c r="B37" s="94" t="s">
        <v>146</v>
      </c>
      <c r="C37" s="71" t="s">
        <v>53</v>
      </c>
      <c r="D37" s="94">
        <v>4</v>
      </c>
      <c r="E37" s="73" t="str">
        <f t="shared" si="4"/>
        <v/>
      </c>
      <c r="F37" s="95" t="str">
        <f t="shared" si="5"/>
        <v/>
      </c>
      <c r="G37" s="74" t="str">
        <f>IF(AND(Proses!$G37&lt;&gt;"",Proses!$H37&lt;&gt;"",Proses!$I37&lt;&gt;"",Proses!$J37&lt;&gt;""),Proses!G37,"")</f>
        <v/>
      </c>
      <c r="H37" s="77" t="str">
        <f>IF(AND(Proses!$G37&lt;&gt;"",Proses!$H37&lt;&gt;"",Proses!$I37&lt;&gt;"",Proses!$J37&lt;&gt;""),Proses!H37,"")</f>
        <v/>
      </c>
      <c r="I37" s="73" t="str">
        <f>IF(AND(Proses!$G37&lt;&gt;"",Proses!$H37&lt;&gt;"",Proses!$I37&lt;&gt;"",Proses!$J37&lt;&gt;""),Proses!I37,"")</f>
        <v/>
      </c>
      <c r="J37" s="73" t="str">
        <f>IF(AND(Proses!$G37&lt;&gt;"",Proses!$H37&lt;&gt;"",Proses!$I37&lt;&gt;"",Proses!$J37&lt;&gt;""),Proses!J37,"")</f>
        <v/>
      </c>
    </row>
    <row r="38" spans="1:10" x14ac:dyDescent="0.25">
      <c r="A38" s="93">
        <v>5</v>
      </c>
      <c r="B38" s="94" t="s">
        <v>54</v>
      </c>
      <c r="C38" s="71" t="s">
        <v>55</v>
      </c>
      <c r="D38" s="94">
        <v>4</v>
      </c>
      <c r="E38" s="73" t="str">
        <f t="shared" si="4"/>
        <v/>
      </c>
      <c r="F38" s="95" t="str">
        <f t="shared" si="5"/>
        <v/>
      </c>
      <c r="G38" s="74" t="str">
        <f>IF(AND(Proses!$G38&lt;&gt;"",Proses!$H38&lt;&gt;"",Proses!$I38&lt;&gt;"",Proses!$J38&lt;&gt;""),Proses!G38,"")</f>
        <v/>
      </c>
      <c r="H38" s="77" t="str">
        <f>IF(AND(Proses!$G38&lt;&gt;"",Proses!$H38&lt;&gt;"",Proses!$I38&lt;&gt;"",Proses!$J38&lt;&gt;""),Proses!H38,"")</f>
        <v/>
      </c>
      <c r="I38" s="73" t="str">
        <f>IF(AND(Proses!$G38&lt;&gt;"",Proses!$H38&lt;&gt;"",Proses!$I38&lt;&gt;"",Proses!$J38&lt;&gt;""),Proses!I38,"")</f>
        <v/>
      </c>
      <c r="J38" s="73" t="str">
        <f>IF(AND(Proses!$G38&lt;&gt;"",Proses!$H38&lt;&gt;"",Proses!$I38&lt;&gt;"",Proses!$J38&lt;&gt;""),Proses!J38,"")</f>
        <v/>
      </c>
    </row>
    <row r="39" spans="1:10" x14ac:dyDescent="0.25">
      <c r="A39" s="93">
        <v>6</v>
      </c>
      <c r="B39" s="94" t="s">
        <v>75</v>
      </c>
      <c r="C39" s="71" t="s">
        <v>56</v>
      </c>
      <c r="D39" s="94">
        <v>2</v>
      </c>
      <c r="E39" s="73" t="str">
        <f t="shared" si="4"/>
        <v/>
      </c>
      <c r="F39" s="95" t="str">
        <f t="shared" si="5"/>
        <v/>
      </c>
      <c r="G39" s="74" t="str">
        <f>IF(AND(Proses!$G39&lt;&gt;"",Proses!$H39&lt;&gt;"",Proses!$I39&lt;&gt;"",Proses!$J39&lt;&gt;""),Proses!G39,"")</f>
        <v/>
      </c>
      <c r="H39" s="77" t="str">
        <f>IF(AND(Proses!$G39&lt;&gt;"",Proses!$H39&lt;&gt;"",Proses!$I39&lt;&gt;"",Proses!$J39&lt;&gt;""),Proses!H39,"")</f>
        <v/>
      </c>
      <c r="I39" s="73" t="str">
        <f>IF(AND(Proses!$G39&lt;&gt;"",Proses!$H39&lt;&gt;"",Proses!$I39&lt;&gt;"",Proses!$J39&lt;&gt;""),Proses!I39,"")</f>
        <v/>
      </c>
      <c r="J39" s="73" t="str">
        <f>IF(AND(Proses!$G39&lt;&gt;"",Proses!$H39&lt;&gt;"",Proses!$I39&lt;&gt;"",Proses!$J39&lt;&gt;""),Proses!J39,"")</f>
        <v/>
      </c>
    </row>
    <row r="40" spans="1:10" x14ac:dyDescent="0.25">
      <c r="A40" s="93">
        <v>7</v>
      </c>
      <c r="B40" s="94" t="s">
        <v>147</v>
      </c>
      <c r="C40" s="71" t="s">
        <v>57</v>
      </c>
      <c r="D40" s="94">
        <v>2</v>
      </c>
      <c r="E40" s="73" t="str">
        <f t="shared" si="4"/>
        <v/>
      </c>
      <c r="F40" s="95" t="str">
        <f t="shared" si="5"/>
        <v/>
      </c>
      <c r="G40" s="74" t="str">
        <f>IF(AND(Proses!$G40&lt;&gt;"",Proses!$H40&lt;&gt;"",Proses!$I40&lt;&gt;"",Proses!$J40&lt;&gt;""),Proses!G40,"")</f>
        <v/>
      </c>
      <c r="H40" s="77" t="str">
        <f>IF(AND(Proses!$G40&lt;&gt;"",Proses!$H40&lt;&gt;"",Proses!$I40&lt;&gt;"",Proses!$J40&lt;&gt;""),Proses!H40,"")</f>
        <v/>
      </c>
      <c r="I40" s="73" t="str">
        <f>IF(AND(Proses!$G40&lt;&gt;"",Proses!$H40&lt;&gt;"",Proses!$I40&lt;&gt;"",Proses!$J40&lt;&gt;""),Proses!I40,"")</f>
        <v/>
      </c>
      <c r="J40" s="73" t="str">
        <f>IF(AND(Proses!$G40&lt;&gt;"",Proses!$H40&lt;&gt;"",Proses!$I40&lt;&gt;"",Proses!$J40&lt;&gt;""),Proses!J40,"")</f>
        <v/>
      </c>
    </row>
    <row r="41" spans="1:10" x14ac:dyDescent="0.25">
      <c r="A41" s="114" t="s">
        <v>27</v>
      </c>
      <c r="B41" s="115"/>
      <c r="C41" s="116"/>
      <c r="D41" s="23">
        <f>SUM(D34:D40)</f>
        <v>19</v>
      </c>
      <c r="E41" s="43">
        <f>IF(Proses!E41 &lt;&gt;"",Proses!E41,"")</f>
        <v>7</v>
      </c>
      <c r="F41" s="101" t="str">
        <f>IF(Proses!F41 &lt;&gt;"",Proses!F41,"")</f>
        <v/>
      </c>
      <c r="G41" s="100" t="str">
        <f>IF(Proses!G41 &lt;&gt;"",Proses!G41,"")</f>
        <v/>
      </c>
      <c r="H41" s="44" t="str">
        <f>IF(Proses!H41 &lt;&gt;"",Proses!H41,"")</f>
        <v/>
      </c>
      <c r="I41" s="43" t="str">
        <f>IF(Proses!I41 &lt;&gt;"",Proses!I41,"")</f>
        <v/>
      </c>
      <c r="J41" s="43" t="str">
        <f>IF(Proses!J41 &lt;&gt;"",Proses!J41,"")</f>
        <v/>
      </c>
    </row>
    <row r="42" spans="1:10" x14ac:dyDescent="0.25">
      <c r="A42" s="6" t="s">
        <v>58</v>
      </c>
      <c r="B42" s="6"/>
      <c r="C42" s="6"/>
      <c r="D42" s="17"/>
      <c r="E42" s="43" t="str">
        <f>IF(Proses!E42 &lt;&gt;"",Proses!E42,"")</f>
        <v/>
      </c>
      <c r="F42" s="101" t="str">
        <f>IF(Proses!F42 &lt;&gt;"",Proses!F42,"")</f>
        <v/>
      </c>
      <c r="G42" s="100" t="str">
        <f>IF(Proses!G42 &lt;&gt;"",Proses!G42,"")</f>
        <v/>
      </c>
      <c r="H42" s="44" t="str">
        <f>IF(Proses!H42 &lt;&gt;"",Proses!H42,"")</f>
        <v/>
      </c>
      <c r="I42" s="43" t="str">
        <f>IF(Proses!I42 &lt;&gt;"",Proses!I42,"")</f>
        <v/>
      </c>
      <c r="J42" s="43" t="str">
        <f>IF(Proses!J42 &lt;&gt;"",Proses!J42,"")</f>
        <v/>
      </c>
    </row>
    <row r="43" spans="1:10" x14ac:dyDescent="0.25">
      <c r="A43" s="93">
        <v>1</v>
      </c>
      <c r="B43" s="94" t="s">
        <v>148</v>
      </c>
      <c r="C43" s="71" t="s">
        <v>60</v>
      </c>
      <c r="D43" s="94">
        <v>2</v>
      </c>
      <c r="E43" s="73" t="str">
        <f t="shared" ref="E43:E49" si="6">IF(AND($G43&lt;&gt;"",$H43&lt;&gt;"",$I43&lt;&gt;"",$J43&lt;&gt;""),$D43,"")</f>
        <v/>
      </c>
      <c r="F43" s="95" t="str">
        <f t="shared" ref="F43:F49" si="7">IF(AND($G43&lt;&gt;"",$H43&lt;&gt;"",$I43&lt;&gt;"",$J43&lt;&gt;""),$J43,"")</f>
        <v/>
      </c>
      <c r="G43" s="74" t="str">
        <f>IF(AND(Proses!$G43&lt;&gt;"",Proses!$H43&lt;&gt;"",Proses!$I43&lt;&gt;"",Proses!$J43&lt;&gt;""),Proses!G43,"")</f>
        <v/>
      </c>
      <c r="H43" s="77" t="str">
        <f>IF(AND(Proses!$G43&lt;&gt;"",Proses!$H43&lt;&gt;"",Proses!$I43&lt;&gt;"",Proses!$J43&lt;&gt;""),Proses!H43,"")</f>
        <v/>
      </c>
      <c r="I43" s="73" t="str">
        <f>IF(AND(Proses!$G43&lt;&gt;"",Proses!$H43&lt;&gt;"",Proses!$I43&lt;&gt;"",Proses!$J43&lt;&gt;""),Proses!I43,"")</f>
        <v/>
      </c>
      <c r="J43" s="73" t="str">
        <f>IF(AND(Proses!$G43&lt;&gt;"",Proses!$H43&lt;&gt;"",Proses!$I43&lt;&gt;"",Proses!$J43&lt;&gt;""),Proses!J43,"")</f>
        <v/>
      </c>
    </row>
    <row r="44" spans="1:10" x14ac:dyDescent="0.25">
      <c r="A44" s="93">
        <v>2</v>
      </c>
      <c r="B44" s="94" t="s">
        <v>61</v>
      </c>
      <c r="C44" s="75" t="s">
        <v>62</v>
      </c>
      <c r="D44" s="94">
        <v>2</v>
      </c>
      <c r="E44" s="73" t="str">
        <f t="shared" si="6"/>
        <v/>
      </c>
      <c r="F44" s="95" t="str">
        <f t="shared" si="7"/>
        <v/>
      </c>
      <c r="G44" s="74" t="str">
        <f>IF(AND(Proses!$G44&lt;&gt;"",Proses!$H44&lt;&gt;"",Proses!$I44&lt;&gt;"",Proses!$J44&lt;&gt;""),Proses!G44,"")</f>
        <v/>
      </c>
      <c r="H44" s="77" t="str">
        <f>IF(AND(Proses!$G44&lt;&gt;"",Proses!$H44&lt;&gt;"",Proses!$I44&lt;&gt;"",Proses!$J44&lt;&gt;""),Proses!H44,"")</f>
        <v/>
      </c>
      <c r="I44" s="73" t="str">
        <f>IF(AND(Proses!$G44&lt;&gt;"",Proses!$H44&lt;&gt;"",Proses!$I44&lt;&gt;"",Proses!$J44&lt;&gt;""),Proses!I44,"")</f>
        <v/>
      </c>
      <c r="J44" s="73" t="str">
        <f>IF(AND(Proses!$G44&lt;&gt;"",Proses!$H44&lt;&gt;"",Proses!$I44&lt;&gt;"",Proses!$J44&lt;&gt;""),Proses!J44,"")</f>
        <v/>
      </c>
    </row>
    <row r="45" spans="1:10" x14ac:dyDescent="0.25">
      <c r="A45" s="93">
        <v>3</v>
      </c>
      <c r="B45" s="94" t="s">
        <v>149</v>
      </c>
      <c r="C45" s="75" t="s">
        <v>64</v>
      </c>
      <c r="D45" s="94">
        <v>2</v>
      </c>
      <c r="E45" s="73" t="str">
        <f t="shared" si="6"/>
        <v/>
      </c>
      <c r="F45" s="95" t="str">
        <f t="shared" si="7"/>
        <v/>
      </c>
      <c r="G45" s="74" t="str">
        <f>IF(AND(Proses!$G45&lt;&gt;"",Proses!$H45&lt;&gt;"",Proses!$I45&lt;&gt;"",Proses!$J45&lt;&gt;""),Proses!G45,"")</f>
        <v/>
      </c>
      <c r="H45" s="77" t="str">
        <f>IF(AND(Proses!$G45&lt;&gt;"",Proses!$H45&lt;&gt;"",Proses!$I45&lt;&gt;"",Proses!$J45&lt;&gt;""),Proses!H45,"")</f>
        <v/>
      </c>
      <c r="I45" s="73" t="str">
        <f>IF(AND(Proses!$G45&lt;&gt;"",Proses!$H45&lt;&gt;"",Proses!$I45&lt;&gt;"",Proses!$J45&lt;&gt;""),Proses!I45,"")</f>
        <v/>
      </c>
      <c r="J45" s="73" t="str">
        <f>IF(AND(Proses!$G45&lt;&gt;"",Proses!$H45&lt;&gt;"",Proses!$I45&lt;&gt;"",Proses!$J45&lt;&gt;""),Proses!J45,"")</f>
        <v/>
      </c>
    </row>
    <row r="46" spans="1:10" x14ac:dyDescent="0.25">
      <c r="A46" s="93">
        <v>4</v>
      </c>
      <c r="B46" s="94" t="s">
        <v>65</v>
      </c>
      <c r="C46" s="71" t="s">
        <v>66</v>
      </c>
      <c r="D46" s="94">
        <v>2</v>
      </c>
      <c r="E46" s="73" t="str">
        <f t="shared" si="6"/>
        <v/>
      </c>
      <c r="F46" s="95" t="str">
        <f t="shared" si="7"/>
        <v/>
      </c>
      <c r="G46" s="74" t="str">
        <f>IF(AND(Proses!$G46&lt;&gt;"",Proses!$H46&lt;&gt;"",Proses!$I46&lt;&gt;"",Proses!$J46&lt;&gt;""),Proses!G46,"")</f>
        <v/>
      </c>
      <c r="H46" s="77" t="str">
        <f>IF(AND(Proses!$G46&lt;&gt;"",Proses!$H46&lt;&gt;"",Proses!$I46&lt;&gt;"",Proses!$J46&lt;&gt;""),Proses!H46,"")</f>
        <v/>
      </c>
      <c r="I46" s="73" t="str">
        <f>IF(AND(Proses!$G46&lt;&gt;"",Proses!$H46&lt;&gt;"",Proses!$I46&lt;&gt;"",Proses!$J46&lt;&gt;""),Proses!I46,"")</f>
        <v/>
      </c>
      <c r="J46" s="73" t="str">
        <f>IF(AND(Proses!$G46&lt;&gt;"",Proses!$H46&lt;&gt;"",Proses!$I46&lt;&gt;"",Proses!$J46&lt;&gt;""),Proses!J46,"")</f>
        <v/>
      </c>
    </row>
    <row r="47" spans="1:10" x14ac:dyDescent="0.25">
      <c r="A47" s="93">
        <v>5</v>
      </c>
      <c r="B47" s="94" t="s">
        <v>67</v>
      </c>
      <c r="C47" s="71" t="s">
        <v>68</v>
      </c>
      <c r="D47" s="94">
        <v>4</v>
      </c>
      <c r="E47" s="73" t="str">
        <f t="shared" si="6"/>
        <v/>
      </c>
      <c r="F47" s="95" t="str">
        <f t="shared" si="7"/>
        <v/>
      </c>
      <c r="G47" s="74" t="str">
        <f>IF(AND(Proses!$G47&lt;&gt;"",Proses!$H47&lt;&gt;"",Proses!$I47&lt;&gt;"",Proses!$J47&lt;&gt;""),Proses!G47,"")</f>
        <v/>
      </c>
      <c r="H47" s="77" t="str">
        <f>IF(AND(Proses!$G47&lt;&gt;"",Proses!$H47&lt;&gt;"",Proses!$I47&lt;&gt;"",Proses!$J47&lt;&gt;""),Proses!H47,"")</f>
        <v/>
      </c>
      <c r="I47" s="73" t="str">
        <f>IF(AND(Proses!$G47&lt;&gt;"",Proses!$H47&lt;&gt;"",Proses!$I47&lt;&gt;"",Proses!$J47&lt;&gt;""),Proses!I47,"")</f>
        <v/>
      </c>
      <c r="J47" s="73" t="str">
        <f>IF(AND(Proses!$G47&lt;&gt;"",Proses!$H47&lt;&gt;"",Proses!$I47&lt;&gt;"",Proses!$J47&lt;&gt;""),Proses!J47,"")</f>
        <v/>
      </c>
    </row>
    <row r="48" spans="1:10" x14ac:dyDescent="0.25">
      <c r="A48" s="93">
        <v>6</v>
      </c>
      <c r="B48" s="94" t="s">
        <v>47</v>
      </c>
      <c r="C48" s="71" t="s">
        <v>69</v>
      </c>
      <c r="D48" s="94">
        <v>4</v>
      </c>
      <c r="E48" s="73" t="str">
        <f t="shared" si="6"/>
        <v/>
      </c>
      <c r="F48" s="95" t="str">
        <f t="shared" si="7"/>
        <v/>
      </c>
      <c r="G48" s="74" t="str">
        <f>IF(AND(Proses!$G48&lt;&gt;"",Proses!$H48&lt;&gt;"",Proses!$I48&lt;&gt;"",Proses!$J48&lt;&gt;""),Proses!G48,"")</f>
        <v/>
      </c>
      <c r="H48" s="77" t="str">
        <f>IF(AND(Proses!$G48&lt;&gt;"",Proses!$H48&lt;&gt;"",Proses!$I48&lt;&gt;"",Proses!$J48&lt;&gt;""),Proses!H48,"")</f>
        <v/>
      </c>
      <c r="I48" s="73" t="str">
        <f>IF(AND(Proses!$G48&lt;&gt;"",Proses!$H48&lt;&gt;"",Proses!$I48&lt;&gt;"",Proses!$J48&lt;&gt;""),Proses!I48,"")</f>
        <v/>
      </c>
      <c r="J48" s="73" t="str">
        <f>IF(AND(Proses!$G48&lt;&gt;"",Proses!$H48&lt;&gt;"",Proses!$I48&lt;&gt;"",Proses!$J48&lt;&gt;""),Proses!J48,"")</f>
        <v/>
      </c>
    </row>
    <row r="49" spans="1:10" x14ac:dyDescent="0.25">
      <c r="A49" s="93">
        <v>7</v>
      </c>
      <c r="B49" s="94" t="s">
        <v>63</v>
      </c>
      <c r="C49" s="75" t="s">
        <v>70</v>
      </c>
      <c r="D49" s="94">
        <v>4</v>
      </c>
      <c r="E49" s="73" t="str">
        <f t="shared" si="6"/>
        <v/>
      </c>
      <c r="F49" s="95" t="str">
        <f t="shared" si="7"/>
        <v/>
      </c>
      <c r="G49" s="74" t="str">
        <f>IF(AND(Proses!$G49&lt;&gt;"",Proses!$H49&lt;&gt;"",Proses!$I49&lt;&gt;"",Proses!$J49&lt;&gt;""),Proses!G49,"")</f>
        <v/>
      </c>
      <c r="H49" s="77" t="str">
        <f>IF(AND(Proses!$G49&lt;&gt;"",Proses!$H49&lt;&gt;"",Proses!$I49&lt;&gt;"",Proses!$J49&lt;&gt;""),Proses!H49,"")</f>
        <v/>
      </c>
      <c r="I49" s="73" t="str">
        <f>IF(AND(Proses!$G49&lt;&gt;"",Proses!$H49&lt;&gt;"",Proses!$I49&lt;&gt;"",Proses!$J49&lt;&gt;""),Proses!I49,"")</f>
        <v/>
      </c>
      <c r="J49" s="73" t="str">
        <f>IF(AND(Proses!$G49&lt;&gt;"",Proses!$H49&lt;&gt;"",Proses!$I49&lt;&gt;"",Proses!$J49&lt;&gt;""),Proses!J49,"")</f>
        <v/>
      </c>
    </row>
    <row r="50" spans="1:10" x14ac:dyDescent="0.25">
      <c r="A50" s="114" t="s">
        <v>27</v>
      </c>
      <c r="B50" s="115"/>
      <c r="C50" s="116"/>
      <c r="D50" s="34">
        <f>SUM(D43:D49)</f>
        <v>20</v>
      </c>
      <c r="E50" s="43">
        <f>IF(Proses!E50 &lt;&gt;"",Proses!E50,"")</f>
        <v>0</v>
      </c>
      <c r="F50" s="101" t="str">
        <f>IF(Proses!F50 &lt;&gt;"",Proses!F50,"")</f>
        <v/>
      </c>
      <c r="G50" s="100" t="str">
        <f>IF(Proses!G50 &lt;&gt;"",Proses!G50,"")</f>
        <v/>
      </c>
      <c r="H50" s="44" t="str">
        <f>IF(Proses!H50 &lt;&gt;"",Proses!H50,"")</f>
        <v/>
      </c>
      <c r="I50" s="43" t="str">
        <f>IF(Proses!I50 &lt;&gt;"",Proses!I50,"")</f>
        <v/>
      </c>
      <c r="J50" s="43" t="str">
        <f>IF(Proses!J50 &lt;&gt;"",Proses!J50,"")</f>
        <v/>
      </c>
    </row>
    <row r="51" spans="1:10" x14ac:dyDescent="0.25">
      <c r="A51" s="6" t="s">
        <v>88</v>
      </c>
      <c r="B51" s="6"/>
      <c r="C51" s="6"/>
      <c r="D51" s="17"/>
      <c r="E51" s="18"/>
      <c r="F51" s="18"/>
      <c r="G51" s="18"/>
      <c r="H51" s="45"/>
      <c r="I51" s="20"/>
      <c r="J51" s="20"/>
    </row>
    <row r="52" spans="1:10" x14ac:dyDescent="0.25">
      <c r="A52" s="93">
        <v>1</v>
      </c>
      <c r="B52" s="94" t="s">
        <v>150</v>
      </c>
      <c r="C52" s="75" t="s">
        <v>72</v>
      </c>
      <c r="D52" s="94">
        <v>2</v>
      </c>
      <c r="E52" s="73" t="str">
        <f t="shared" ref="E52:E58" si="8">IF(AND($G52&lt;&gt;"",$H52&lt;&gt;"",$I52&lt;&gt;"",$J52&lt;&gt;""),$D52,"")</f>
        <v/>
      </c>
      <c r="F52" s="95" t="str">
        <f t="shared" ref="F52:F58" si="9">IF(AND($G52&lt;&gt;"",$H52&lt;&gt;"",$I52&lt;&gt;"",$J52&lt;&gt;""),$J52,"")</f>
        <v/>
      </c>
      <c r="G52" s="74" t="str">
        <f>IF(AND(Proses!$G70&lt;&gt;"",Proses!$H70&lt;&gt;"",Proses!$I70&lt;&gt;"",Proses!$J70&lt;&gt;""),Proses!G70,"")</f>
        <v/>
      </c>
      <c r="H52" s="102" t="str">
        <f>IF(AND(Proses!$G70&lt;&gt;"",Proses!$H70&lt;&gt;"",Proses!$I70&lt;&gt;"",Proses!$J70&lt;&gt;""),Proses!H70,"")</f>
        <v/>
      </c>
      <c r="I52" s="74" t="str">
        <f>IF(AND(Proses!$G70&lt;&gt;"",Proses!$H70&lt;&gt;"",Proses!$I70&lt;&gt;"",Proses!$J70&lt;&gt;""),Proses!I70,"")</f>
        <v/>
      </c>
      <c r="J52" s="74" t="str">
        <f>IF(AND(Proses!$G70&lt;&gt;"",Proses!$H70&lt;&gt;"",Proses!$I70&lt;&gt;"",Proses!$J70&lt;&gt;""),Proses!J70,"")</f>
        <v/>
      </c>
    </row>
    <row r="53" spans="1:10" x14ac:dyDescent="0.25">
      <c r="A53" s="93">
        <v>2</v>
      </c>
      <c r="B53" s="94" t="s">
        <v>151</v>
      </c>
      <c r="C53" s="71" t="s">
        <v>76</v>
      </c>
      <c r="D53" s="94">
        <v>4</v>
      </c>
      <c r="E53" s="73" t="str">
        <f t="shared" si="8"/>
        <v/>
      </c>
      <c r="F53" s="95" t="str">
        <f t="shared" si="9"/>
        <v/>
      </c>
      <c r="G53" s="74" t="str">
        <f>IF(AND(Proses!$G71&lt;&gt;"",Proses!$H71&lt;&gt;"",Proses!$I71&lt;&gt;"",Proses!$J71&lt;&gt;""),Proses!G71,"")</f>
        <v/>
      </c>
      <c r="H53" s="102" t="str">
        <f>IF(AND(Proses!$G71&lt;&gt;"",Proses!$H71&lt;&gt;"",Proses!$I71&lt;&gt;"",Proses!$J71&lt;&gt;""),Proses!H71,"")</f>
        <v/>
      </c>
      <c r="I53" s="74" t="str">
        <f>IF(AND(Proses!$G71&lt;&gt;"",Proses!$H71&lt;&gt;"",Proses!$I71&lt;&gt;"",Proses!$J71&lt;&gt;""),Proses!I71,"")</f>
        <v/>
      </c>
      <c r="J53" s="74" t="str">
        <f>IF(AND(Proses!$G71&lt;&gt;"",Proses!$H71&lt;&gt;"",Proses!$I71&lt;&gt;"",Proses!$J71&lt;&gt;""),Proses!J71,"")</f>
        <v/>
      </c>
    </row>
    <row r="54" spans="1:10" x14ac:dyDescent="0.25">
      <c r="A54" s="93">
        <v>3</v>
      </c>
      <c r="B54" s="94" t="s">
        <v>156</v>
      </c>
      <c r="C54" s="98" t="s">
        <v>89</v>
      </c>
      <c r="D54" s="94">
        <v>4</v>
      </c>
      <c r="E54" s="73" t="str">
        <f t="shared" si="8"/>
        <v/>
      </c>
      <c r="F54" s="95" t="str">
        <f t="shared" si="9"/>
        <v/>
      </c>
      <c r="G54" s="74" t="str">
        <f>IF(AND(Proses!$G72&lt;&gt;"",Proses!$H72&lt;&gt;"",Proses!$I72&lt;&gt;"",Proses!$J72&lt;&gt;""),Proses!G72,"")</f>
        <v/>
      </c>
      <c r="H54" s="102" t="str">
        <f>IF(AND(Proses!$G72&lt;&gt;"",Proses!$H72&lt;&gt;"",Proses!$I72&lt;&gt;"",Proses!$J72&lt;&gt;""),Proses!H72,"")</f>
        <v/>
      </c>
      <c r="I54" s="74" t="str">
        <f>IF(AND(Proses!$G72&lt;&gt;"",Proses!$H72&lt;&gt;"",Proses!$I72&lt;&gt;"",Proses!$J72&lt;&gt;""),Proses!I72,"")</f>
        <v/>
      </c>
      <c r="J54" s="74" t="str">
        <f>IF(AND(Proses!$G72&lt;&gt;"",Proses!$H72&lt;&gt;"",Proses!$I72&lt;&gt;"",Proses!$J72&lt;&gt;""),Proses!J72,"")</f>
        <v/>
      </c>
    </row>
    <row r="55" spans="1:10" x14ac:dyDescent="0.25">
      <c r="A55" s="93">
        <v>4</v>
      </c>
      <c r="B55" s="94" t="s">
        <v>157</v>
      </c>
      <c r="C55" s="98" t="s">
        <v>91</v>
      </c>
      <c r="D55" s="94">
        <v>4</v>
      </c>
      <c r="E55" s="73" t="str">
        <f t="shared" si="8"/>
        <v/>
      </c>
      <c r="F55" s="95" t="str">
        <f t="shared" si="9"/>
        <v/>
      </c>
      <c r="G55" s="74" t="str">
        <f>IF(AND(Proses!$G73&lt;&gt;"",Proses!$H73&lt;&gt;"",Proses!$I73&lt;&gt;"",Proses!$J73&lt;&gt;""),Proses!G73,"")</f>
        <v/>
      </c>
      <c r="H55" s="102" t="str">
        <f>IF(AND(Proses!$G73&lt;&gt;"",Proses!$H73&lt;&gt;"",Proses!$I73&lt;&gt;"",Proses!$J73&lt;&gt;""),Proses!H73,"")</f>
        <v/>
      </c>
      <c r="I55" s="74" t="str">
        <f>IF(AND(Proses!$G73&lt;&gt;"",Proses!$H73&lt;&gt;"",Proses!$I73&lt;&gt;"",Proses!$J73&lt;&gt;""),Proses!I73,"")</f>
        <v/>
      </c>
      <c r="J55" s="74" t="str">
        <f>IF(AND(Proses!$G73&lt;&gt;"",Proses!$H73&lt;&gt;"",Proses!$I73&lt;&gt;"",Proses!$J73&lt;&gt;""),Proses!J73,"")</f>
        <v/>
      </c>
    </row>
    <row r="56" spans="1:10" x14ac:dyDescent="0.25">
      <c r="A56" s="93">
        <v>5</v>
      </c>
      <c r="B56" s="94" t="s">
        <v>59</v>
      </c>
      <c r="C56" s="75" t="s">
        <v>78</v>
      </c>
      <c r="D56" s="94">
        <v>2</v>
      </c>
      <c r="E56" s="73" t="str">
        <f t="shared" si="8"/>
        <v/>
      </c>
      <c r="F56" s="95" t="str">
        <f t="shared" si="9"/>
        <v/>
      </c>
      <c r="G56" s="74" t="str">
        <f>IF(AND(Proses!$G74&lt;&gt;"",Proses!$H74&lt;&gt;"",Proses!$I74&lt;&gt;"",Proses!$J74&lt;&gt;""),Proses!G74,"")</f>
        <v/>
      </c>
      <c r="H56" s="102" t="str">
        <f>IF(AND(Proses!$G74&lt;&gt;"",Proses!$H74&lt;&gt;"",Proses!$I74&lt;&gt;"",Proses!$J74&lt;&gt;""),Proses!H74,"")</f>
        <v/>
      </c>
      <c r="I56" s="74" t="str">
        <f>IF(AND(Proses!$G74&lt;&gt;"",Proses!$H74&lt;&gt;"",Proses!$I74&lt;&gt;"",Proses!$J74&lt;&gt;""),Proses!I74,"")</f>
        <v/>
      </c>
      <c r="J56" s="74" t="str">
        <f>IF(AND(Proses!$G74&lt;&gt;"",Proses!$H74&lt;&gt;"",Proses!$I74&lt;&gt;"",Proses!$J74&lt;&gt;""),Proses!J74,"")</f>
        <v/>
      </c>
    </row>
    <row r="57" spans="1:10" x14ac:dyDescent="0.25">
      <c r="A57" s="93">
        <v>6</v>
      </c>
      <c r="B57" s="94" t="s">
        <v>158</v>
      </c>
      <c r="C57" s="98" t="s">
        <v>92</v>
      </c>
      <c r="D57" s="94">
        <v>2</v>
      </c>
      <c r="E57" s="73" t="str">
        <f t="shared" si="8"/>
        <v/>
      </c>
      <c r="F57" s="95" t="str">
        <f t="shared" si="9"/>
        <v/>
      </c>
      <c r="G57" s="74" t="str">
        <f>IF(AND(Proses!$G75&lt;&gt;"",Proses!$H75&lt;&gt;"",Proses!$I75&lt;&gt;"",Proses!$J75&lt;&gt;""),Proses!G75,"")</f>
        <v/>
      </c>
      <c r="H57" s="102" t="str">
        <f>IF(AND(Proses!$G75&lt;&gt;"",Proses!$H75&lt;&gt;"",Proses!$I75&lt;&gt;"",Proses!$J75&lt;&gt;""),Proses!H75,"")</f>
        <v/>
      </c>
      <c r="I57" s="74" t="str">
        <f>IF(AND(Proses!$G75&lt;&gt;"",Proses!$H75&lt;&gt;"",Proses!$I75&lt;&gt;"",Proses!$J75&lt;&gt;""),Proses!I75,"")</f>
        <v/>
      </c>
      <c r="J57" s="74" t="str">
        <f>IF(AND(Proses!$G75&lt;&gt;"",Proses!$H75&lt;&gt;"",Proses!$I75&lt;&gt;"",Proses!$J75&lt;&gt;""),Proses!J75,"")</f>
        <v/>
      </c>
    </row>
    <row r="58" spans="1:10" x14ac:dyDescent="0.25">
      <c r="A58" s="93">
        <v>7</v>
      </c>
      <c r="B58" s="94" t="s">
        <v>154</v>
      </c>
      <c r="C58" s="75" t="s">
        <v>80</v>
      </c>
      <c r="D58" s="94">
        <v>2</v>
      </c>
      <c r="E58" s="73" t="str">
        <f t="shared" si="8"/>
        <v/>
      </c>
      <c r="F58" s="95" t="str">
        <f t="shared" si="9"/>
        <v/>
      </c>
      <c r="G58" s="74" t="str">
        <f>IF(AND(Proses!$G76&lt;&gt;"",Proses!$H76&lt;&gt;"",Proses!$I76&lt;&gt;"",Proses!$J76&lt;&gt;""),Proses!G76,"")</f>
        <v/>
      </c>
      <c r="H58" s="102" t="str">
        <f>IF(AND(Proses!$G76&lt;&gt;"",Proses!$H76&lt;&gt;"",Proses!$I76&lt;&gt;"",Proses!$J76&lt;&gt;""),Proses!H76,"")</f>
        <v/>
      </c>
      <c r="I58" s="74" t="str">
        <f>IF(AND(Proses!$G76&lt;&gt;"",Proses!$H76&lt;&gt;"",Proses!$I76&lt;&gt;"",Proses!$J76&lt;&gt;""),Proses!I76,"")</f>
        <v/>
      </c>
      <c r="J58" s="74" t="str">
        <f>IF(AND(Proses!$G76&lt;&gt;"",Proses!$H76&lt;&gt;"",Proses!$I76&lt;&gt;"",Proses!$J76&lt;&gt;""),Proses!J76,"")</f>
        <v/>
      </c>
    </row>
    <row r="59" spans="1:10" x14ac:dyDescent="0.25">
      <c r="A59" s="114" t="s">
        <v>27</v>
      </c>
      <c r="B59" s="115"/>
      <c r="C59" s="116"/>
      <c r="D59" s="36">
        <f>SUM(D52:D58)</f>
        <v>20</v>
      </c>
      <c r="E59" s="36">
        <f>SUM(E52:E58)</f>
        <v>0</v>
      </c>
      <c r="F59" s="25"/>
      <c r="G59" s="26"/>
      <c r="H59" s="46"/>
      <c r="I59" s="25"/>
      <c r="J59" s="25"/>
    </row>
    <row r="60" spans="1:10" x14ac:dyDescent="0.25">
      <c r="A60" s="6" t="s">
        <v>105</v>
      </c>
      <c r="B60" s="6"/>
      <c r="C60" s="6"/>
      <c r="D60" s="17"/>
      <c r="E60" s="18"/>
      <c r="F60" s="18"/>
      <c r="G60" s="18"/>
      <c r="H60" s="45"/>
      <c r="I60" s="20"/>
      <c r="J60" s="20"/>
    </row>
    <row r="61" spans="1:10" x14ac:dyDescent="0.25">
      <c r="A61" s="93">
        <v>1</v>
      </c>
      <c r="B61" s="94" t="s">
        <v>164</v>
      </c>
      <c r="C61" s="98" t="s">
        <v>106</v>
      </c>
      <c r="D61" s="73">
        <v>4</v>
      </c>
      <c r="E61" s="73" t="str">
        <f t="shared" ref="E61:E66" si="10">IF(AND($G61&lt;&gt;"",$H61&lt;&gt;"",$I61&lt;&gt;"",$J61&lt;&gt;""),$D61,"")</f>
        <v/>
      </c>
      <c r="F61" s="95" t="str">
        <f t="shared" ref="F61:F66" si="11">IF(AND($G61&lt;&gt;"",$H61&lt;&gt;"",$I61&lt;&gt;"",$J61&lt;&gt;""),$J61,"")</f>
        <v/>
      </c>
      <c r="G61" s="74" t="str">
        <f>IF(AND(Proses!$G95&lt;&gt;"",Proses!$H95&lt;&gt;"",Proses!$I95&lt;&gt;"",Proses!$J95&lt;&gt;""),Proses!G95,"")</f>
        <v/>
      </c>
      <c r="H61" s="102" t="str">
        <f>IF(AND(Proses!$G95&lt;&gt;"",Proses!$H95&lt;&gt;"",Proses!$I95&lt;&gt;"",Proses!$J95&lt;&gt;""),Proses!H95,"")</f>
        <v/>
      </c>
      <c r="I61" s="74" t="str">
        <f>IF(AND(Proses!$G95&lt;&gt;"",Proses!$H95&lt;&gt;"",Proses!$I95&lt;&gt;"",Proses!$J95&lt;&gt;""),Proses!I95,"")</f>
        <v/>
      </c>
      <c r="J61" s="74" t="str">
        <f>IF(AND(Proses!$G95&lt;&gt;"",Proses!$H95&lt;&gt;"",Proses!$I95&lt;&gt;"",Proses!$J95&lt;&gt;""),Proses!J95,"")</f>
        <v/>
      </c>
    </row>
    <row r="62" spans="1:10" x14ac:dyDescent="0.25">
      <c r="A62" s="93">
        <v>2</v>
      </c>
      <c r="B62" s="94" t="s">
        <v>165</v>
      </c>
      <c r="C62" s="98" t="s">
        <v>108</v>
      </c>
      <c r="D62" s="73">
        <v>4</v>
      </c>
      <c r="E62" s="73" t="str">
        <f t="shared" si="10"/>
        <v/>
      </c>
      <c r="F62" s="95" t="str">
        <f t="shared" si="11"/>
        <v/>
      </c>
      <c r="G62" s="74" t="str">
        <f>IF(AND(Proses!$G96&lt;&gt;"",Proses!$H96&lt;&gt;"",Proses!$I96&lt;&gt;"",Proses!$J96&lt;&gt;""),Proses!G96,"")</f>
        <v/>
      </c>
      <c r="H62" s="102" t="str">
        <f>IF(AND(Proses!$G96&lt;&gt;"",Proses!$H96&lt;&gt;"",Proses!$I96&lt;&gt;"",Proses!$J96&lt;&gt;""),Proses!H96,"")</f>
        <v/>
      </c>
      <c r="I62" s="74" t="str">
        <f>IF(AND(Proses!$G96&lt;&gt;"",Proses!$H96&lt;&gt;"",Proses!$I96&lt;&gt;"",Proses!$J96&lt;&gt;""),Proses!I96,"")</f>
        <v/>
      </c>
      <c r="J62" s="74" t="str">
        <f>IF(AND(Proses!$G96&lt;&gt;"",Proses!$H96&lt;&gt;"",Proses!$I96&lt;&gt;"",Proses!$J96&lt;&gt;""),Proses!J96,"")</f>
        <v/>
      </c>
    </row>
    <row r="63" spans="1:10" x14ac:dyDescent="0.25">
      <c r="A63" s="93">
        <v>3</v>
      </c>
      <c r="B63" s="94" t="s">
        <v>166</v>
      </c>
      <c r="C63" s="98" t="s">
        <v>109</v>
      </c>
      <c r="D63" s="73">
        <v>4</v>
      </c>
      <c r="E63" s="73" t="str">
        <f t="shared" si="10"/>
        <v/>
      </c>
      <c r="F63" s="95" t="str">
        <f t="shared" si="11"/>
        <v/>
      </c>
      <c r="G63" s="74" t="str">
        <f>IF(AND(Proses!$G97&lt;&gt;"",Proses!$H97&lt;&gt;"",Proses!$I97&lt;&gt;"",Proses!$J97&lt;&gt;""),Proses!G97,"")</f>
        <v/>
      </c>
      <c r="H63" s="102" t="str">
        <f>IF(AND(Proses!$G97&lt;&gt;"",Proses!$H97&lt;&gt;"",Proses!$I97&lt;&gt;"",Proses!$J97&lt;&gt;""),Proses!H97,"")</f>
        <v/>
      </c>
      <c r="I63" s="74" t="str">
        <f>IF(AND(Proses!$G97&lt;&gt;"",Proses!$H97&lt;&gt;"",Proses!$I97&lt;&gt;"",Proses!$J97&lt;&gt;""),Proses!I97,"")</f>
        <v/>
      </c>
      <c r="J63" s="74" t="str">
        <f>IF(AND(Proses!$G97&lt;&gt;"",Proses!$H97&lt;&gt;"",Proses!$I97&lt;&gt;"",Proses!$J97&lt;&gt;""),Proses!J97,"")</f>
        <v/>
      </c>
    </row>
    <row r="64" spans="1:10" x14ac:dyDescent="0.25">
      <c r="A64" s="93">
        <v>4</v>
      </c>
      <c r="B64" s="94" t="s">
        <v>159</v>
      </c>
      <c r="C64" s="71" t="s">
        <v>97</v>
      </c>
      <c r="D64" s="73">
        <v>2</v>
      </c>
      <c r="E64" s="73" t="str">
        <f t="shared" si="10"/>
        <v/>
      </c>
      <c r="F64" s="95" t="str">
        <f t="shared" si="11"/>
        <v/>
      </c>
      <c r="G64" s="74" t="str">
        <f>IF(AND(Proses!$G98&lt;&gt;"",Proses!$H98&lt;&gt;"",Proses!$I98&lt;&gt;"",Proses!$J98&lt;&gt;""),Proses!G98,"")</f>
        <v/>
      </c>
      <c r="H64" s="102" t="str">
        <f>IF(AND(Proses!$G98&lt;&gt;"",Proses!$H98&lt;&gt;"",Proses!$I98&lt;&gt;"",Proses!$J98&lt;&gt;""),Proses!H98,"")</f>
        <v/>
      </c>
      <c r="I64" s="74" t="str">
        <f>IF(AND(Proses!$G98&lt;&gt;"",Proses!$H98&lt;&gt;"",Proses!$I98&lt;&gt;"",Proses!$J98&lt;&gt;""),Proses!I98,"")</f>
        <v/>
      </c>
      <c r="J64" s="74" t="str">
        <f>IF(AND(Proses!$G98&lt;&gt;"",Proses!$H98&lt;&gt;"",Proses!$I98&lt;&gt;"",Proses!$J98&lt;&gt;""),Proses!J98,"")</f>
        <v/>
      </c>
    </row>
    <row r="65" spans="1:10" x14ac:dyDescent="0.25">
      <c r="A65" s="93">
        <v>5</v>
      </c>
      <c r="B65" s="94" t="s">
        <v>73</v>
      </c>
      <c r="C65" s="75" t="s">
        <v>96</v>
      </c>
      <c r="D65" s="73">
        <v>2</v>
      </c>
      <c r="E65" s="73" t="str">
        <f t="shared" si="10"/>
        <v/>
      </c>
      <c r="F65" s="95" t="str">
        <f t="shared" si="11"/>
        <v/>
      </c>
      <c r="G65" s="74" t="str">
        <f>IF(AND(Proses!$G99&lt;&gt;"",Proses!$H99&lt;&gt;"",Proses!$I99&lt;&gt;"",Proses!$J99&lt;&gt;""),Proses!G99,"")</f>
        <v/>
      </c>
      <c r="H65" s="102" t="str">
        <f>IF(AND(Proses!$G99&lt;&gt;"",Proses!$H99&lt;&gt;"",Proses!$I99&lt;&gt;"",Proses!$J99&lt;&gt;""),Proses!H99,"")</f>
        <v/>
      </c>
      <c r="I65" s="74" t="str">
        <f>IF(AND(Proses!$G99&lt;&gt;"",Proses!$H99&lt;&gt;"",Proses!$I99&lt;&gt;"",Proses!$J99&lt;&gt;""),Proses!I99,"")</f>
        <v/>
      </c>
      <c r="J65" s="74" t="str">
        <f>IF(AND(Proses!$G99&lt;&gt;"",Proses!$H99&lt;&gt;"",Proses!$I99&lt;&gt;"",Proses!$J99&lt;&gt;""),Proses!J99,"")</f>
        <v/>
      </c>
    </row>
    <row r="66" spans="1:10" x14ac:dyDescent="0.25">
      <c r="A66" s="93">
        <v>6</v>
      </c>
      <c r="B66" s="94" t="s">
        <v>161</v>
      </c>
      <c r="C66" s="71" t="s">
        <v>100</v>
      </c>
      <c r="D66" s="73">
        <v>4</v>
      </c>
      <c r="E66" s="73" t="str">
        <f t="shared" si="10"/>
        <v/>
      </c>
      <c r="F66" s="95" t="str">
        <f t="shared" si="11"/>
        <v/>
      </c>
      <c r="G66" s="74" t="str">
        <f>IF(AND(Proses!$G100&lt;&gt;"",Proses!$H100&lt;&gt;"",Proses!$I100&lt;&gt;"",Proses!$J100&lt;&gt;""),Proses!G100,"")</f>
        <v/>
      </c>
      <c r="H66" s="102" t="str">
        <f>IF(AND(Proses!$G100&lt;&gt;"",Proses!$H100&lt;&gt;"",Proses!$I100&lt;&gt;"",Proses!$J100&lt;&gt;""),Proses!H100,"")</f>
        <v/>
      </c>
      <c r="I66" s="74" t="str">
        <f>IF(AND(Proses!$G100&lt;&gt;"",Proses!$H100&lt;&gt;"",Proses!$I100&lt;&gt;"",Proses!$J100&lt;&gt;""),Proses!I100,"")</f>
        <v/>
      </c>
      <c r="J66" s="74" t="str">
        <f>IF(AND(Proses!$G100&lt;&gt;"",Proses!$H100&lt;&gt;"",Proses!$I100&lt;&gt;"",Proses!$J100&lt;&gt;""),Proses!J100,"")</f>
        <v/>
      </c>
    </row>
    <row r="67" spans="1:10" x14ac:dyDescent="0.25">
      <c r="A67" s="114" t="s">
        <v>27</v>
      </c>
      <c r="B67" s="115"/>
      <c r="C67" s="116"/>
      <c r="D67" s="23">
        <f>SUM(D61:D66)</f>
        <v>20</v>
      </c>
      <c r="E67" s="23">
        <f>SUM(E61:E66)</f>
        <v>0</v>
      </c>
      <c r="F67" s="25"/>
      <c r="G67" s="26"/>
      <c r="H67" s="27"/>
      <c r="I67" s="26"/>
      <c r="J67" s="26"/>
    </row>
    <row r="68" spans="1:10" x14ac:dyDescent="0.25">
      <c r="A68" s="6" t="s">
        <v>120</v>
      </c>
      <c r="B68" s="6"/>
      <c r="C68" s="6"/>
      <c r="D68" s="17"/>
      <c r="E68" s="19"/>
      <c r="F68" s="19"/>
      <c r="G68" s="19"/>
      <c r="H68" s="45"/>
      <c r="I68" s="20"/>
      <c r="J68" s="22"/>
    </row>
    <row r="69" spans="1:10" x14ac:dyDescent="0.25">
      <c r="A69" s="93">
        <v>1</v>
      </c>
      <c r="B69" s="73" t="s">
        <v>111</v>
      </c>
      <c r="C69" s="71" t="s">
        <v>112</v>
      </c>
      <c r="D69" s="73">
        <v>2</v>
      </c>
      <c r="E69" s="73" t="str">
        <f t="shared" ref="E69:E73" si="12">IF(AND($G69&lt;&gt;"",$H69&lt;&gt;"",$I69&lt;&gt;"",$J69&lt;&gt;""),$D69,"")</f>
        <v/>
      </c>
      <c r="F69" s="95" t="str">
        <f t="shared" ref="F69:F73" si="13">IF(AND($G69&lt;&gt;"",$H69&lt;&gt;"",$I69&lt;&gt;"",$J69&lt;&gt;""),$J69,"")</f>
        <v/>
      </c>
      <c r="G69" s="74" t="str">
        <f>IF(AND(Proses!$G117&lt;&gt;"",Proses!$H117&lt;&gt;"",Proses!$I117&lt;&gt;"",Proses!$J117&lt;&gt;""),Proses!G117,"")</f>
        <v/>
      </c>
      <c r="H69" s="102" t="str">
        <f>IF(AND(Proses!$G117&lt;&gt;"",Proses!$H117&lt;&gt;"",Proses!$I117&lt;&gt;"",Proses!$J117&lt;&gt;""),Proses!H117,"")</f>
        <v/>
      </c>
      <c r="I69" s="74" t="str">
        <f>IF(AND(Proses!$G117&lt;&gt;"",Proses!$H117&lt;&gt;"",Proses!$I117&lt;&gt;"",Proses!$J117&lt;&gt;""),Proses!I117,"")</f>
        <v/>
      </c>
      <c r="J69" s="74" t="str">
        <f>IF(AND(Proses!$G117&lt;&gt;"",Proses!$H117&lt;&gt;"",Proses!$I117&lt;&gt;"",Proses!$J117&lt;&gt;""),Proses!J117,"")</f>
        <v/>
      </c>
    </row>
    <row r="70" spans="1:10" x14ac:dyDescent="0.25">
      <c r="A70" s="93">
        <v>2</v>
      </c>
      <c r="B70" s="73" t="s">
        <v>113</v>
      </c>
      <c r="C70" s="71" t="s">
        <v>114</v>
      </c>
      <c r="D70" s="73">
        <v>2</v>
      </c>
      <c r="E70" s="73" t="str">
        <f t="shared" si="12"/>
        <v/>
      </c>
      <c r="F70" s="95" t="str">
        <f t="shared" si="13"/>
        <v/>
      </c>
      <c r="G70" s="74" t="str">
        <f>IF(AND(Proses!$G118&lt;&gt;"",Proses!$H118&lt;&gt;"",Proses!$I118&lt;&gt;"",Proses!$J118&lt;&gt;""),Proses!G118,"")</f>
        <v/>
      </c>
      <c r="H70" s="102" t="str">
        <f>IF(AND(Proses!$G118&lt;&gt;"",Proses!$H118&lt;&gt;"",Proses!$I118&lt;&gt;"",Proses!$J118&lt;&gt;""),Proses!H118,"")</f>
        <v/>
      </c>
      <c r="I70" s="74" t="str">
        <f>IF(AND(Proses!$G118&lt;&gt;"",Proses!$H118&lt;&gt;"",Proses!$I118&lt;&gt;"",Proses!$J118&lt;&gt;""),Proses!I118,"")</f>
        <v/>
      </c>
      <c r="J70" s="74" t="str">
        <f>IF(AND(Proses!$G118&lt;&gt;"",Proses!$H118&lt;&gt;"",Proses!$I118&lt;&gt;"",Proses!$J118&lt;&gt;""),Proses!J118,"")</f>
        <v/>
      </c>
    </row>
    <row r="71" spans="1:10" x14ac:dyDescent="0.25">
      <c r="A71" s="93">
        <v>3</v>
      </c>
      <c r="B71" s="73" t="s">
        <v>167</v>
      </c>
      <c r="C71" s="71" t="s">
        <v>115</v>
      </c>
      <c r="D71" s="73">
        <v>4</v>
      </c>
      <c r="E71" s="73" t="str">
        <f t="shared" si="12"/>
        <v/>
      </c>
      <c r="F71" s="95" t="str">
        <f t="shared" si="13"/>
        <v/>
      </c>
      <c r="G71" s="74" t="str">
        <f>IF(AND(Proses!$G119&lt;&gt;"",Proses!$H119&lt;&gt;"",Proses!$I119&lt;&gt;"",Proses!$J119&lt;&gt;""),Proses!G119,"")</f>
        <v/>
      </c>
      <c r="H71" s="102" t="str">
        <f>IF(AND(Proses!$G119&lt;&gt;"",Proses!$H119&lt;&gt;"",Proses!$I119&lt;&gt;"",Proses!$J119&lt;&gt;""),Proses!H119,"")</f>
        <v/>
      </c>
      <c r="I71" s="74" t="str">
        <f>IF(AND(Proses!$G119&lt;&gt;"",Proses!$H119&lt;&gt;"",Proses!$I119&lt;&gt;"",Proses!$J119&lt;&gt;""),Proses!I119,"")</f>
        <v/>
      </c>
      <c r="J71" s="74" t="str">
        <f>IF(AND(Proses!$G119&lt;&gt;"",Proses!$H119&lt;&gt;"",Proses!$I119&lt;&gt;"",Proses!$J119&lt;&gt;""),Proses!J119,"")</f>
        <v/>
      </c>
    </row>
    <row r="72" spans="1:10" x14ac:dyDescent="0.25">
      <c r="A72" s="93">
        <v>4</v>
      </c>
      <c r="B72" s="73" t="s">
        <v>168</v>
      </c>
      <c r="C72" s="71" t="s">
        <v>116</v>
      </c>
      <c r="D72" s="73">
        <v>2</v>
      </c>
      <c r="E72" s="73" t="str">
        <f t="shared" si="12"/>
        <v/>
      </c>
      <c r="F72" s="95" t="str">
        <f t="shared" si="13"/>
        <v/>
      </c>
      <c r="G72" s="74" t="str">
        <f>IF(AND(Proses!$G120&lt;&gt;"",Proses!$H120&lt;&gt;"",Proses!$I120&lt;&gt;"",Proses!$J120&lt;&gt;""),Proses!G120,"")</f>
        <v/>
      </c>
      <c r="H72" s="102" t="str">
        <f>IF(AND(Proses!$G120&lt;&gt;"",Proses!$H120&lt;&gt;"",Proses!$I120&lt;&gt;"",Proses!$J120&lt;&gt;""),Proses!H120,"")</f>
        <v/>
      </c>
      <c r="I72" s="74" t="str">
        <f>IF(AND(Proses!$G120&lt;&gt;"",Proses!$H120&lt;&gt;"",Proses!$I120&lt;&gt;"",Proses!$J120&lt;&gt;""),Proses!I120,"")</f>
        <v/>
      </c>
      <c r="J72" s="74" t="str">
        <f>IF(AND(Proses!$G120&lt;&gt;"",Proses!$H120&lt;&gt;"",Proses!$I120&lt;&gt;"",Proses!$J120&lt;&gt;""),Proses!J120,"")</f>
        <v/>
      </c>
    </row>
    <row r="73" spans="1:10" x14ac:dyDescent="0.25">
      <c r="A73" s="93">
        <v>5</v>
      </c>
      <c r="B73" s="73" t="s">
        <v>171</v>
      </c>
      <c r="C73" s="98" t="s">
        <v>121</v>
      </c>
      <c r="D73" s="73">
        <v>4</v>
      </c>
      <c r="E73" s="73" t="str">
        <f t="shared" si="12"/>
        <v/>
      </c>
      <c r="F73" s="95" t="str">
        <f t="shared" si="13"/>
        <v/>
      </c>
      <c r="G73" s="74" t="str">
        <f>IF(AND(Proses!$G121&lt;&gt;"",Proses!$H121&lt;&gt;"",Proses!$I121&lt;&gt;"",Proses!$J121&lt;&gt;""),Proses!G121,"")</f>
        <v/>
      </c>
      <c r="H73" s="102" t="str">
        <f>IF(AND(Proses!$G121&lt;&gt;"",Proses!$H121&lt;&gt;"",Proses!$I121&lt;&gt;"",Proses!$J121&lt;&gt;""),Proses!H121,"")</f>
        <v/>
      </c>
      <c r="I73" s="74" t="str">
        <f>IF(AND(Proses!$G121&lt;&gt;"",Proses!$H121&lt;&gt;"",Proses!$I121&lt;&gt;"",Proses!$J121&lt;&gt;""),Proses!I121,"")</f>
        <v/>
      </c>
      <c r="J73" s="74" t="str">
        <f>IF(AND(Proses!$G121&lt;&gt;"",Proses!$H121&lt;&gt;"",Proses!$I121&lt;&gt;"",Proses!$J121&lt;&gt;""),Proses!J121,"")</f>
        <v/>
      </c>
    </row>
    <row r="74" spans="1:10" x14ac:dyDescent="0.25">
      <c r="A74" s="114" t="s">
        <v>27</v>
      </c>
      <c r="B74" s="115"/>
      <c r="C74" s="116"/>
      <c r="D74" s="23">
        <f>SUM(D69:D73)</f>
        <v>14</v>
      </c>
      <c r="E74" s="23">
        <f>SUM(E69:E73)</f>
        <v>0</v>
      </c>
      <c r="F74" s="25"/>
      <c r="G74" s="26"/>
      <c r="H74" s="48"/>
      <c r="I74" s="25"/>
      <c r="J74" s="25"/>
    </row>
    <row r="75" spans="1:10" x14ac:dyDescent="0.25">
      <c r="A75" s="6" t="s">
        <v>122</v>
      </c>
      <c r="B75" s="6"/>
      <c r="C75" s="6"/>
      <c r="D75" s="17"/>
      <c r="E75" s="19"/>
      <c r="F75" s="19"/>
      <c r="G75" s="19"/>
      <c r="H75" s="45"/>
      <c r="I75" s="20"/>
      <c r="J75" s="22"/>
    </row>
    <row r="76" spans="1:10" x14ac:dyDescent="0.25">
      <c r="A76" s="72">
        <v>1</v>
      </c>
      <c r="B76" s="73" t="s">
        <v>123</v>
      </c>
      <c r="C76" s="71" t="s">
        <v>124</v>
      </c>
      <c r="D76" s="73">
        <v>4</v>
      </c>
      <c r="E76" s="73" t="str">
        <f t="shared" ref="E76:E79" si="14">IF(AND($G76&lt;&gt;"",$H76&lt;&gt;"",$I76&lt;&gt;"",$J76&lt;&gt;""),$D76,"")</f>
        <v/>
      </c>
      <c r="F76" s="95" t="str">
        <f t="shared" ref="F76:F79" si="15">IF(AND($G76&lt;&gt;"",$H76&lt;&gt;"",$I76&lt;&gt;"",$J76&lt;&gt;""),$J76,"")</f>
        <v/>
      </c>
      <c r="G76" s="74" t="str">
        <f>IF(AND(Proses!$G124&lt;&gt;"",Proses!$H124&lt;&gt;"",Proses!$I124&lt;&gt;"",Proses!$J124&lt;&gt;""),Proses!G124,"")</f>
        <v/>
      </c>
      <c r="H76" s="77" t="str">
        <f>IF(AND(Proses!$G124&lt;&gt;"",Proses!$H124&lt;&gt;"",Proses!$I124&lt;&gt;"",Proses!$J124&lt;&gt;""),Proses!H124,"")</f>
        <v/>
      </c>
      <c r="I76" s="73" t="str">
        <f>IF(AND(Proses!$G124&lt;&gt;"",Proses!$H124&lt;&gt;"",Proses!$I124&lt;&gt;"",Proses!$J124&lt;&gt;""),Proses!I124,"")</f>
        <v/>
      </c>
      <c r="J76" s="73" t="str">
        <f>IF(AND(Proses!$G124&lt;&gt;"",Proses!$H124&lt;&gt;"",Proses!$I124&lt;&gt;"",Proses!$J124&lt;&gt;""),Proses!J124,"")</f>
        <v/>
      </c>
    </row>
    <row r="77" spans="1:10" x14ac:dyDescent="0.25">
      <c r="A77" s="72">
        <v>2</v>
      </c>
      <c r="B77" s="73" t="s">
        <v>172</v>
      </c>
      <c r="C77" s="75" t="s">
        <v>125</v>
      </c>
      <c r="D77" s="73">
        <v>4</v>
      </c>
      <c r="E77" s="73">
        <f t="shared" si="14"/>
        <v>4</v>
      </c>
      <c r="F77" s="95" t="str">
        <f t="shared" si="15"/>
        <v>B</v>
      </c>
      <c r="G77" s="74" t="str">
        <f>IF(AND(Proses!$G125&lt;&gt;"",Proses!$H125&lt;&gt;"",Proses!$I125&lt;&gt;"",Proses!$J125&lt;&gt;""),Proses!G125,"")</f>
        <v>SI0219</v>
      </c>
      <c r="H77" s="77" t="str">
        <f>IF(AND(Proses!$G125&lt;&gt;"",Proses!$H125&lt;&gt;"",Proses!$I125&lt;&gt;"",Proses!$J125&lt;&gt;""),Proses!H125,"")</f>
        <v>E-Commerce</v>
      </c>
      <c r="I77" s="73">
        <f>IF(AND(Proses!$G125&lt;&gt;"",Proses!$H125&lt;&gt;"",Proses!$I125&lt;&gt;"",Proses!$J125&lt;&gt;""),Proses!I125,"")</f>
        <v>4</v>
      </c>
      <c r="J77" s="73" t="str">
        <f>IF(AND(Proses!$G125&lt;&gt;"",Proses!$H125&lt;&gt;"",Proses!$I125&lt;&gt;"",Proses!$J125&lt;&gt;""),Proses!J125,"")</f>
        <v>B</v>
      </c>
    </row>
    <row r="78" spans="1:10" x14ac:dyDescent="0.25">
      <c r="A78" s="72">
        <v>3</v>
      </c>
      <c r="B78" s="73" t="s">
        <v>98</v>
      </c>
      <c r="C78" s="71" t="s">
        <v>127</v>
      </c>
      <c r="D78" s="73">
        <v>2</v>
      </c>
      <c r="E78" s="73" t="str">
        <f t="shared" si="14"/>
        <v/>
      </c>
      <c r="F78" s="95" t="str">
        <f t="shared" si="15"/>
        <v/>
      </c>
      <c r="G78" s="74" t="str">
        <f>IF(AND(Proses!$G126&lt;&gt;"",Proses!$H126&lt;&gt;"",Proses!$I126&lt;&gt;"",Proses!$J126&lt;&gt;""),Proses!G126,"")</f>
        <v/>
      </c>
      <c r="H78" s="77" t="str">
        <f>IF(AND(Proses!$G126&lt;&gt;"",Proses!$H126&lt;&gt;"",Proses!$I126&lt;&gt;"",Proses!$J126&lt;&gt;""),Proses!H126,"")</f>
        <v/>
      </c>
      <c r="I78" s="73" t="str">
        <f>IF(AND(Proses!$G126&lt;&gt;"",Proses!$H126&lt;&gt;"",Proses!$I126&lt;&gt;"",Proses!$J126&lt;&gt;""),Proses!I126,"")</f>
        <v/>
      </c>
      <c r="J78" s="73" t="str">
        <f>IF(AND(Proses!$G126&lt;&gt;"",Proses!$H126&lt;&gt;"",Proses!$I126&lt;&gt;"",Proses!$J126&lt;&gt;""),Proses!J126,"")</f>
        <v/>
      </c>
    </row>
    <row r="79" spans="1:10" x14ac:dyDescent="0.25">
      <c r="A79" s="72">
        <v>4</v>
      </c>
      <c r="B79" s="73" t="s">
        <v>128</v>
      </c>
      <c r="C79" s="71" t="s">
        <v>129</v>
      </c>
      <c r="D79" s="73">
        <v>2</v>
      </c>
      <c r="E79" s="73" t="str">
        <f t="shared" si="14"/>
        <v/>
      </c>
      <c r="F79" s="95" t="str">
        <f t="shared" si="15"/>
        <v/>
      </c>
      <c r="G79" s="74" t="str">
        <f>IF(AND(Proses!$G127&lt;&gt;"",Proses!$H127&lt;&gt;"",Proses!$I127&lt;&gt;"",Proses!$J127&lt;&gt;""),Proses!G127,"")</f>
        <v/>
      </c>
      <c r="H79" s="77" t="str">
        <f>IF(AND(Proses!$G127&lt;&gt;"",Proses!$H127&lt;&gt;"",Proses!$I127&lt;&gt;"",Proses!$J127&lt;&gt;""),Proses!H127,"")</f>
        <v/>
      </c>
      <c r="I79" s="73" t="str">
        <f>IF(AND(Proses!$G127&lt;&gt;"",Proses!$H127&lt;&gt;"",Proses!$I127&lt;&gt;"",Proses!$J127&lt;&gt;""),Proses!I127,"")</f>
        <v/>
      </c>
      <c r="J79" s="73" t="str">
        <f>IF(AND(Proses!$G127&lt;&gt;"",Proses!$H127&lt;&gt;"",Proses!$I127&lt;&gt;"",Proses!$J127&lt;&gt;""),Proses!J127,"")</f>
        <v/>
      </c>
    </row>
    <row r="80" spans="1:10" x14ac:dyDescent="0.25">
      <c r="A80" s="114" t="s">
        <v>27</v>
      </c>
      <c r="B80" s="115"/>
      <c r="C80" s="116"/>
      <c r="D80" s="23">
        <f>SUM(D76:D79)</f>
        <v>12</v>
      </c>
      <c r="E80" s="23">
        <f>SUM(E76:E79)</f>
        <v>4</v>
      </c>
      <c r="F80" s="25"/>
      <c r="G80" s="26"/>
      <c r="H80" s="48"/>
      <c r="I80" s="25"/>
      <c r="J80" s="25"/>
    </row>
    <row r="81" spans="1:10" x14ac:dyDescent="0.25">
      <c r="A81" s="103" t="s">
        <v>130</v>
      </c>
      <c r="B81" s="103"/>
      <c r="C81" s="103"/>
      <c r="D81" s="103">
        <f>SUM(E21,E32,E41,E50,E59,E67,E74,E80)</f>
        <v>38</v>
      </c>
      <c r="E81" s="103"/>
      <c r="F81" s="103"/>
      <c r="G81" s="103" t="s">
        <v>131</v>
      </c>
      <c r="H81" s="103"/>
      <c r="I81" s="103">
        <f>SUM(I12:I79)</f>
        <v>38</v>
      </c>
      <c r="J81" s="103"/>
    </row>
    <row r="83" spans="1:10" x14ac:dyDescent="0.25">
      <c r="C83" s="42" t="str">
        <f>IF(Proses!C133&lt;&gt;"",Proses!C133,"")</f>
        <v>INTELEGENT SYSTEM (IS)</v>
      </c>
      <c r="D83" s="42">
        <f>IF(Proses!D133&lt;&gt;"",Proses!D133,"")</f>
        <v>38</v>
      </c>
    </row>
  </sheetData>
  <sheetProtection algorithmName="SHA-512" hashValue="iZ7QQ/WnkrDIw1dw+eLkIv6MjrqS1cYOUesD5T1g1eFdKoXqoOXK3NSXxgtGMsc1Te1wRI+4GbXofcznT6IpJQ==" saltValue="pqQ8qVYeK6cSHOVGjRvFWw==" spinCount="100000" sheet="1" objects="1" scenarios="1" selectLockedCells="1"/>
  <mergeCells count="17">
    <mergeCell ref="A1:J1"/>
    <mergeCell ref="A2:J2"/>
    <mergeCell ref="A7:C7"/>
    <mergeCell ref="A59:C59"/>
    <mergeCell ref="A67:C67"/>
    <mergeCell ref="A9:F9"/>
    <mergeCell ref="G9:J9"/>
    <mergeCell ref="A21:C21"/>
    <mergeCell ref="A32:C32"/>
    <mergeCell ref="A41:C41"/>
    <mergeCell ref="A50:C50"/>
    <mergeCell ref="G81:H81"/>
    <mergeCell ref="I81:J81"/>
    <mergeCell ref="A74:C74"/>
    <mergeCell ref="A80:C80"/>
    <mergeCell ref="A81:C81"/>
    <mergeCell ref="D81:F81"/>
  </mergeCells>
  <conditionalFormatting sqref="A43:J49 A34:J40 A23:J31 A12:J20">
    <cfRule type="expression" dxfId="2" priority="9">
      <formula>$F12=""</formula>
    </cfRule>
  </conditionalFormatting>
  <conditionalFormatting sqref="A76:J79">
    <cfRule type="expression" dxfId="1" priority="5">
      <formula>$F76=""</formula>
    </cfRule>
  </conditionalFormatting>
  <conditionalFormatting sqref="A52:J58 A61:J66 A69:J73">
    <cfRule type="expression" dxfId="0" priority="1">
      <formula>$F52=""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0F00782BACC54BAE51FC7B7EBA4B6D" ma:contentTypeVersion="10" ma:contentTypeDescription="Create a new document." ma:contentTypeScope="" ma:versionID="36453922d66ead0e8941b36c11a0a79a">
  <xsd:schema xmlns:xsd="http://www.w3.org/2001/XMLSchema" xmlns:xs="http://www.w3.org/2001/XMLSchema" xmlns:p="http://schemas.microsoft.com/office/2006/metadata/properties" xmlns:ns3="47a5eb9e-1714-49ce-8375-53be5ed4de86" xmlns:ns4="95281eb8-116f-45e9-9389-af9795c787ef" targetNamespace="http://schemas.microsoft.com/office/2006/metadata/properties" ma:root="true" ma:fieldsID="fdf245e5cbcb7d0e09fe57d8520793bf" ns3:_="" ns4:_="">
    <xsd:import namespace="47a5eb9e-1714-49ce-8375-53be5ed4de86"/>
    <xsd:import namespace="95281eb8-116f-45e9-9389-af9795c787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5eb9e-1714-49ce-8375-53be5ed4d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81eb8-116f-45e9-9389-af9795c787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56AB0F-0F34-4124-AF11-173B7988E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a5eb9e-1714-49ce-8375-53be5ed4de86"/>
    <ds:schemaRef ds:uri="95281eb8-116f-45e9-9389-af9795c78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372BD9-D495-4308-A597-5A8934488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538E48-FFCF-48CB-B5F0-4F0CB4EEC6E7}">
  <ds:schemaRefs>
    <ds:schemaRef ds:uri="95281eb8-116f-45e9-9389-af9795c787e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7a5eb9e-1714-49ce-8375-53be5ed4de8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Proses</vt:lpstr>
      <vt:lpstr>ES</vt:lpstr>
      <vt:lpstr>GM</vt:lpstr>
      <vt:lpstr>IS</vt:lpstr>
      <vt:lpstr>Proses!Print_Titles</vt:lpstr>
    </vt:vector>
  </TitlesOfParts>
  <Manager/>
  <Company>HP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crisnapati</dc:creator>
  <cp:keywords/>
  <dc:description/>
  <cp:lastModifiedBy>(-_-)</cp:lastModifiedBy>
  <cp:revision/>
  <dcterms:created xsi:type="dcterms:W3CDTF">2014-03-10T03:03:53Z</dcterms:created>
  <dcterms:modified xsi:type="dcterms:W3CDTF">2023-01-31T00:52:23Z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0x010100FD0F00782BACC54BAE51FC7B7EBA4B6D</vt:lpwstr>
  </property>
</Properties>
</file>